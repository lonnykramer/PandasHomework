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nny\WUSTL201907DATA2\04-Pandas\Homework\Instructions\HeroesOfPymoli\Resources\"/>
    </mc:Choice>
  </mc:AlternateContent>
  <xr:revisionPtr revIDLastSave="0" documentId="13_ncr:40009_{4B3A0E90-E670-42E7-915F-1AC4DD4E76B5}" xr6:coauthVersionLast="43" xr6:coauthVersionMax="43" xr10:uidLastSave="{00000000-0000-0000-0000-000000000000}"/>
  <bookViews>
    <workbookView xWindow="-108" yWindow="-108" windowWidth="23256" windowHeight="12576" activeTab="4"/>
  </bookViews>
  <sheets>
    <sheet name="purchase_data" sheetId="1" r:id="rId1"/>
    <sheet name="purchase_data (2)" sheetId="2" r:id="rId2"/>
    <sheet name="Sheet2" sheetId="3" r:id="rId3"/>
    <sheet name="Sheet3" sheetId="4" r:id="rId4"/>
    <sheet name="unique item nbr" sheetId="6" r:id="rId5"/>
  </sheets>
  <calcPr calcId="0"/>
</workbook>
</file>

<file path=xl/calcChain.xml><?xml version="1.0" encoding="utf-8"?>
<calcChain xmlns="http://schemas.openxmlformats.org/spreadsheetml/2006/main">
  <c r="F964" i="6" l="1"/>
  <c r="F960" i="6"/>
  <c r="F956" i="6"/>
  <c r="F950" i="6"/>
  <c r="F948" i="6"/>
  <c r="F941" i="6"/>
  <c r="F928" i="6"/>
  <c r="F925" i="6"/>
  <c r="F922" i="6"/>
  <c r="F918" i="6"/>
  <c r="F913" i="6"/>
  <c r="F910" i="6"/>
  <c r="F905" i="6"/>
  <c r="F901" i="6"/>
  <c r="F896" i="6"/>
  <c r="F891" i="6"/>
  <c r="F888" i="6"/>
  <c r="F883" i="6"/>
  <c r="F879" i="6"/>
  <c r="F874" i="6"/>
  <c r="F866" i="6"/>
  <c r="F860" i="6"/>
  <c r="F854" i="6"/>
  <c r="F848" i="6"/>
  <c r="F841" i="6"/>
  <c r="F833" i="6"/>
  <c r="F830" i="6"/>
  <c r="F825" i="6"/>
  <c r="F819" i="6"/>
  <c r="F813" i="6"/>
  <c r="F808" i="6"/>
  <c r="F803" i="6"/>
  <c r="F798" i="6"/>
  <c r="F794" i="6"/>
  <c r="F788" i="6"/>
  <c r="F782" i="6"/>
  <c r="F778" i="6"/>
  <c r="F774" i="6"/>
  <c r="F768" i="6"/>
  <c r="F758" i="6"/>
  <c r="F751" i="6"/>
  <c r="F744" i="6"/>
  <c r="F740" i="6"/>
  <c r="F732" i="6"/>
  <c r="F726" i="6"/>
  <c r="F720" i="6"/>
  <c r="F714" i="6"/>
  <c r="F708" i="6"/>
  <c r="F701" i="6"/>
  <c r="F697" i="6"/>
  <c r="F695" i="6"/>
  <c r="F689" i="6"/>
  <c r="F686" i="6"/>
  <c r="F680" i="6"/>
  <c r="F676" i="6"/>
  <c r="F669" i="6"/>
  <c r="F663" i="6"/>
  <c r="F660" i="6"/>
  <c r="F658" i="6"/>
  <c r="F655" i="6"/>
  <c r="F650" i="6"/>
  <c r="F645" i="6"/>
  <c r="F641" i="6"/>
  <c r="F636" i="6"/>
  <c r="F629" i="6"/>
  <c r="F625" i="6"/>
  <c r="F623" i="6"/>
  <c r="F615" i="6"/>
  <c r="F610" i="6"/>
  <c r="F607" i="6"/>
  <c r="F601" i="6"/>
  <c r="F596" i="6"/>
  <c r="F591" i="6"/>
  <c r="F586" i="6"/>
  <c r="F578" i="6"/>
  <c r="F574" i="6"/>
  <c r="F564" i="6"/>
  <c r="F559" i="6"/>
  <c r="F555" i="6"/>
  <c r="F550" i="6"/>
  <c r="F548" i="6"/>
  <c r="F539" i="6"/>
  <c r="F532" i="6"/>
  <c r="F526" i="6"/>
  <c r="F520" i="6"/>
  <c r="F515" i="6"/>
  <c r="F509" i="6"/>
  <c r="F505" i="6"/>
  <c r="F498" i="6"/>
  <c r="F494" i="6"/>
  <c r="F489" i="6"/>
  <c r="F482" i="6"/>
  <c r="F473" i="6"/>
  <c r="F471" i="6"/>
  <c r="F469" i="6"/>
  <c r="F465" i="6"/>
  <c r="F459" i="6"/>
  <c r="F453" i="6"/>
  <c r="F449" i="6"/>
  <c r="F441" i="6"/>
  <c r="F437" i="6"/>
  <c r="F432" i="6"/>
  <c r="F422" i="6"/>
  <c r="F419" i="6"/>
  <c r="F413" i="6"/>
  <c r="F409" i="6"/>
  <c r="F401" i="6"/>
  <c r="F396" i="6"/>
  <c r="F391" i="6"/>
  <c r="F382" i="6"/>
  <c r="F378" i="6"/>
  <c r="F372" i="6"/>
  <c r="F363" i="6"/>
  <c r="F355" i="6"/>
  <c r="F350" i="6"/>
  <c r="F347" i="6"/>
  <c r="F342" i="6"/>
  <c r="F337" i="6"/>
  <c r="F332" i="6"/>
  <c r="F326" i="6"/>
  <c r="F322" i="6"/>
  <c r="F319" i="6"/>
  <c r="F315" i="6"/>
  <c r="F311" i="6"/>
  <c r="F302" i="6"/>
  <c r="F293" i="6"/>
  <c r="F288" i="6"/>
  <c r="F283" i="6"/>
  <c r="F280" i="6"/>
  <c r="F276" i="6"/>
  <c r="F269" i="6"/>
  <c r="F261" i="6"/>
  <c r="F256" i="6"/>
  <c r="F254" i="6"/>
  <c r="F249" i="6"/>
  <c r="F245" i="6"/>
  <c r="F242" i="6"/>
  <c r="F240" i="6"/>
  <c r="F234" i="6"/>
  <c r="F229" i="6"/>
  <c r="F223" i="6"/>
  <c r="F220" i="6"/>
  <c r="F218" i="6"/>
  <c r="F214" i="6"/>
  <c r="F207" i="6"/>
  <c r="F201" i="6"/>
  <c r="F196" i="6"/>
  <c r="F187" i="6"/>
  <c r="F181" i="6"/>
  <c r="F172" i="6"/>
  <c r="F169" i="6"/>
  <c r="F163" i="6"/>
  <c r="F160" i="6"/>
  <c r="F157" i="6"/>
  <c r="F151" i="6"/>
  <c r="F148" i="6"/>
  <c r="F146" i="6"/>
  <c r="F143" i="6"/>
  <c r="F136" i="6"/>
  <c r="F130" i="6"/>
  <c r="F128" i="6"/>
  <c r="F121" i="6"/>
  <c r="F115" i="6"/>
  <c r="F109" i="6"/>
  <c r="F100" i="6"/>
  <c r="F97" i="6"/>
  <c r="F92" i="6"/>
  <c r="F87" i="6"/>
  <c r="F81" i="6"/>
  <c r="F78" i="6"/>
  <c r="F73" i="6"/>
  <c r="F66" i="6"/>
  <c r="F60" i="6"/>
  <c r="F55" i="6"/>
  <c r="F50" i="6"/>
  <c r="F46" i="6"/>
  <c r="F38" i="6"/>
  <c r="F35" i="6"/>
  <c r="F30" i="6"/>
  <c r="F24" i="6"/>
  <c r="F17" i="6"/>
  <c r="F10" i="6"/>
  <c r="F6" i="6"/>
  <c r="G964" i="6"/>
  <c r="G960" i="6"/>
  <c r="G956" i="6"/>
  <c r="G950" i="6"/>
  <c r="G948" i="6"/>
  <c r="G941" i="6"/>
  <c r="G928" i="6"/>
  <c r="G925" i="6"/>
  <c r="G922" i="6"/>
  <c r="G918" i="6"/>
  <c r="G913" i="6"/>
  <c r="G910" i="6"/>
  <c r="G905" i="6"/>
  <c r="G901" i="6"/>
  <c r="G896" i="6"/>
  <c r="G891" i="6"/>
  <c r="G888" i="6"/>
  <c r="G883" i="6"/>
  <c r="G879" i="6"/>
  <c r="G874" i="6"/>
  <c r="G866" i="6"/>
  <c r="G860" i="6"/>
  <c r="G854" i="6"/>
  <c r="G848" i="6"/>
  <c r="G841" i="6"/>
  <c r="G833" i="6"/>
  <c r="G830" i="6"/>
  <c r="G825" i="6"/>
  <c r="G819" i="6"/>
  <c r="G813" i="6"/>
  <c r="G808" i="6"/>
  <c r="G803" i="6"/>
  <c r="G798" i="6"/>
  <c r="G794" i="6"/>
  <c r="G788" i="6"/>
  <c r="G782" i="6"/>
  <c r="G778" i="6"/>
  <c r="G774" i="6"/>
  <c r="G768" i="6"/>
  <c r="G758" i="6"/>
  <c r="G751" i="6"/>
  <c r="G744" i="6"/>
  <c r="G740" i="6"/>
  <c r="G732" i="6"/>
  <c r="G726" i="6"/>
  <c r="G720" i="6"/>
  <c r="G714" i="6"/>
  <c r="G708" i="6"/>
  <c r="G701" i="6"/>
  <c r="G697" i="6"/>
  <c r="G695" i="6"/>
  <c r="G689" i="6"/>
  <c r="G686" i="6"/>
  <c r="G680" i="6"/>
  <c r="G676" i="6"/>
  <c r="G669" i="6"/>
  <c r="G663" i="6"/>
  <c r="G660" i="6"/>
  <c r="G658" i="6"/>
  <c r="G655" i="6"/>
  <c r="G650" i="6"/>
  <c r="G645" i="6"/>
  <c r="G641" i="6"/>
  <c r="G636" i="6"/>
  <c r="G629" i="6"/>
  <c r="G625" i="6"/>
  <c r="G623" i="6"/>
  <c r="G615" i="6"/>
  <c r="G610" i="6"/>
  <c r="G607" i="6"/>
  <c r="G601" i="6"/>
  <c r="G596" i="6"/>
  <c r="G591" i="6"/>
  <c r="G586" i="6"/>
  <c r="G578" i="6"/>
  <c r="G574" i="6"/>
  <c r="G564" i="6"/>
  <c r="G559" i="6"/>
  <c r="G555" i="6"/>
  <c r="G550" i="6"/>
  <c r="G548" i="6"/>
  <c r="G539" i="6"/>
  <c r="G532" i="6"/>
  <c r="G526" i="6"/>
  <c r="G520" i="6"/>
  <c r="G515" i="6"/>
  <c r="G509" i="6"/>
  <c r="G505" i="6"/>
  <c r="G498" i="6"/>
  <c r="G494" i="6"/>
  <c r="G489" i="6"/>
  <c r="G482" i="6"/>
  <c r="G473" i="6"/>
  <c r="G471" i="6"/>
  <c r="G469" i="6"/>
  <c r="G465" i="6"/>
  <c r="G459" i="6"/>
  <c r="G453" i="6"/>
  <c r="G449" i="6"/>
  <c r="G441" i="6"/>
  <c r="G437" i="6"/>
  <c r="G432" i="6"/>
  <c r="G422" i="6"/>
  <c r="G419" i="6"/>
  <c r="G413" i="6"/>
  <c r="G409" i="6"/>
  <c r="G401" i="6"/>
  <c r="G396" i="6"/>
  <c r="G391" i="6"/>
  <c r="G382" i="6"/>
  <c r="G378" i="6"/>
  <c r="G372" i="6"/>
  <c r="G363" i="6"/>
  <c r="G355" i="6"/>
  <c r="G350" i="6"/>
  <c r="G347" i="6"/>
  <c r="G342" i="6"/>
  <c r="G337" i="6"/>
  <c r="G332" i="6"/>
  <c r="G326" i="6"/>
  <c r="G322" i="6"/>
  <c r="G319" i="6"/>
  <c r="G315" i="6"/>
  <c r="G311" i="6"/>
  <c r="G302" i="6"/>
  <c r="G293" i="6"/>
  <c r="G288" i="6"/>
  <c r="G283" i="6"/>
  <c r="G280" i="6"/>
  <c r="G276" i="6"/>
  <c r="G269" i="6"/>
  <c r="G261" i="6"/>
  <c r="G256" i="6"/>
  <c r="G254" i="6"/>
  <c r="G249" i="6"/>
  <c r="G245" i="6"/>
  <c r="G242" i="6"/>
  <c r="G240" i="6"/>
  <c r="G234" i="6"/>
  <c r="G229" i="6"/>
  <c r="G223" i="6"/>
  <c r="G220" i="6"/>
  <c r="G218" i="6"/>
  <c r="G214" i="6"/>
  <c r="G207" i="6"/>
  <c r="G201" i="6"/>
  <c r="G196" i="6"/>
  <c r="G187" i="6"/>
  <c r="G181" i="6"/>
  <c r="G172" i="6"/>
  <c r="G169" i="6"/>
  <c r="G163" i="6"/>
  <c r="G160" i="6"/>
  <c r="G157" i="6"/>
  <c r="G151" i="6"/>
  <c r="G148" i="6"/>
  <c r="G146" i="6"/>
  <c r="G143" i="6"/>
  <c r="G136" i="6"/>
  <c r="G130" i="6"/>
  <c r="G128" i="6"/>
  <c r="G121" i="6"/>
  <c r="G115" i="6"/>
  <c r="G109" i="6"/>
  <c r="G100" i="6"/>
  <c r="G97" i="6"/>
  <c r="G92" i="6"/>
  <c r="G87" i="6"/>
  <c r="G81" i="6"/>
  <c r="G78" i="6"/>
  <c r="G73" i="6"/>
  <c r="G66" i="6"/>
  <c r="G60" i="6"/>
  <c r="G55" i="6"/>
  <c r="G50" i="6"/>
  <c r="G46" i="6"/>
  <c r="G38" i="6"/>
  <c r="G35" i="6"/>
  <c r="G30" i="6"/>
  <c r="G24" i="6"/>
  <c r="G17" i="6"/>
  <c r="G10" i="6"/>
  <c r="G6" i="6"/>
  <c r="G966" i="6" s="1"/>
  <c r="D1357" i="2"/>
  <c r="D1355" i="2"/>
  <c r="D1352" i="2"/>
  <c r="D1350" i="2"/>
  <c r="D1347" i="2"/>
  <c r="D1345" i="2"/>
  <c r="D1343" i="2"/>
  <c r="D1340" i="2"/>
  <c r="D1338" i="2"/>
  <c r="D1336" i="2"/>
  <c r="D1333" i="2"/>
  <c r="D1331" i="2"/>
  <c r="D1327" i="2"/>
  <c r="D1324" i="2"/>
  <c r="D1321" i="2"/>
  <c r="D1319" i="2"/>
  <c r="D1317" i="2"/>
  <c r="D1315" i="2"/>
  <c r="D1313" i="2"/>
  <c r="D1311" i="2"/>
  <c r="D1309" i="2"/>
  <c r="D1307" i="2"/>
  <c r="D1305" i="2"/>
  <c r="D1303" i="2"/>
  <c r="D1301" i="2"/>
  <c r="D1299" i="2"/>
  <c r="D1297" i="2"/>
  <c r="D1295" i="2"/>
  <c r="D1292" i="2"/>
  <c r="D1289" i="2"/>
  <c r="D1287" i="2"/>
  <c r="D1285" i="2"/>
  <c r="D1283" i="2"/>
  <c r="D1280" i="2"/>
  <c r="D1278" i="2"/>
  <c r="D1275" i="2"/>
  <c r="D1273" i="2"/>
  <c r="D1270" i="2"/>
  <c r="D1268" i="2"/>
  <c r="D1266" i="2"/>
  <c r="D1264" i="2"/>
  <c r="D1261" i="2"/>
  <c r="D1259" i="2"/>
  <c r="D1257" i="2"/>
  <c r="D1255" i="2"/>
  <c r="D1253" i="2"/>
  <c r="D1250" i="2"/>
  <c r="D1246" i="2"/>
  <c r="D1244" i="2"/>
  <c r="D1241" i="2"/>
  <c r="D1238" i="2"/>
  <c r="D1236" i="2"/>
  <c r="D1234" i="2"/>
  <c r="D1232" i="2"/>
  <c r="D1230" i="2"/>
  <c r="D1227" i="2"/>
  <c r="D1225" i="2"/>
  <c r="D1223" i="2"/>
  <c r="D1221" i="2"/>
  <c r="D1219" i="2"/>
  <c r="D1217" i="2"/>
  <c r="D1214" i="2"/>
  <c r="D1212" i="2"/>
  <c r="D1210" i="2"/>
  <c r="D1208" i="2"/>
  <c r="D1206" i="2"/>
  <c r="D1204" i="2"/>
  <c r="D1202" i="2"/>
  <c r="D1200" i="2"/>
  <c r="D1197" i="2"/>
  <c r="D1195" i="2"/>
  <c r="D1192" i="2"/>
  <c r="D1190" i="2"/>
  <c r="D1188" i="2"/>
  <c r="D1185" i="2"/>
  <c r="D1183" i="2"/>
  <c r="D1179" i="2"/>
  <c r="D1177" i="2"/>
  <c r="D1175" i="2"/>
  <c r="D1173" i="2"/>
  <c r="D1171" i="2"/>
  <c r="D1167" i="2"/>
  <c r="D1165" i="2"/>
  <c r="D1163" i="2"/>
  <c r="D1160" i="2"/>
  <c r="D1157" i="2"/>
  <c r="D1155" i="2"/>
  <c r="D1152" i="2"/>
  <c r="D1148" i="2"/>
  <c r="D1146" i="2"/>
  <c r="D1144" i="2"/>
  <c r="D1140" i="2"/>
  <c r="D1137" i="2"/>
  <c r="D1135" i="2"/>
  <c r="D1133" i="2"/>
  <c r="D1131" i="2"/>
  <c r="D1128" i="2"/>
  <c r="D1125" i="2"/>
  <c r="D1123" i="2"/>
  <c r="D1120" i="2"/>
  <c r="D1118" i="2"/>
  <c r="D1116" i="2"/>
  <c r="D1112" i="2"/>
  <c r="D1110" i="2"/>
  <c r="D1108" i="2"/>
  <c r="D1105" i="2"/>
  <c r="D1103" i="2"/>
  <c r="D1101" i="2"/>
  <c r="D1099" i="2"/>
  <c r="D1096" i="2"/>
  <c r="D1092" i="2"/>
  <c r="D1090" i="2"/>
  <c r="D1088" i="2"/>
  <c r="D1086" i="2"/>
  <c r="D1084" i="2"/>
  <c r="D1082" i="2"/>
  <c r="D1080" i="2"/>
  <c r="D1078" i="2"/>
  <c r="D1076" i="2"/>
  <c r="D1072" i="2"/>
  <c r="D1070" i="2"/>
  <c r="D1068" i="2"/>
  <c r="D1066" i="2"/>
  <c r="D1062" i="2"/>
  <c r="D1059" i="2"/>
  <c r="D1057" i="2"/>
  <c r="D1055" i="2"/>
  <c r="D1053" i="2"/>
  <c r="D1051" i="2"/>
  <c r="D1049" i="2"/>
  <c r="D1047" i="2"/>
  <c r="D1045" i="2"/>
  <c r="D1043" i="2"/>
  <c r="D1041" i="2"/>
  <c r="D1039" i="2"/>
  <c r="D1037" i="2"/>
  <c r="D1034" i="2"/>
  <c r="D1032" i="2"/>
  <c r="D1030" i="2"/>
  <c r="D1028" i="2"/>
  <c r="D1026" i="2"/>
  <c r="D1024" i="2"/>
  <c r="D1022" i="2"/>
  <c r="D1020" i="2"/>
  <c r="D1017" i="2"/>
  <c r="D1013" i="2"/>
  <c r="D1011" i="2"/>
  <c r="D1008" i="2"/>
  <c r="D1004" i="2"/>
  <c r="D1002" i="2"/>
  <c r="D1000" i="2"/>
  <c r="D998" i="2"/>
  <c r="D996" i="2"/>
  <c r="D993" i="2"/>
  <c r="D991" i="2"/>
  <c r="D989" i="2"/>
  <c r="D987" i="2"/>
  <c r="D985" i="2"/>
  <c r="D983" i="2"/>
  <c r="D981" i="2"/>
  <c r="D979" i="2"/>
  <c r="D977" i="2"/>
  <c r="D975" i="2"/>
  <c r="D972" i="2"/>
  <c r="D970" i="2"/>
  <c r="D967" i="2"/>
  <c r="D965" i="2"/>
  <c r="D963" i="2"/>
  <c r="D961" i="2"/>
  <c r="D959" i="2"/>
  <c r="D957" i="2"/>
  <c r="D955" i="2"/>
  <c r="D952" i="2"/>
  <c r="D950" i="2"/>
  <c r="D948" i="2"/>
  <c r="D946" i="2"/>
  <c r="D944" i="2"/>
  <c r="D941" i="2"/>
  <c r="D939" i="2"/>
  <c r="D937" i="2"/>
  <c r="D935" i="2"/>
  <c r="D933" i="2"/>
  <c r="D931" i="2"/>
  <c r="D929" i="2"/>
  <c r="D927" i="2"/>
  <c r="D924" i="2"/>
  <c r="D918" i="2"/>
  <c r="D916" i="2"/>
  <c r="D912" i="2"/>
  <c r="D910" i="2"/>
  <c r="D908" i="2"/>
  <c r="D906" i="2"/>
  <c r="D903" i="2"/>
  <c r="D901" i="2"/>
  <c r="D899" i="2"/>
  <c r="D897" i="2"/>
  <c r="D895" i="2"/>
  <c r="D891" i="2"/>
  <c r="D888" i="2"/>
  <c r="D886" i="2"/>
  <c r="D884" i="2"/>
  <c r="D882" i="2"/>
  <c r="D879" i="2"/>
  <c r="D877" i="2"/>
  <c r="D875" i="2"/>
  <c r="D873" i="2"/>
  <c r="D870" i="2"/>
  <c r="D868" i="2"/>
  <c r="D865" i="2"/>
  <c r="D862" i="2"/>
  <c r="D859" i="2"/>
  <c r="D856" i="2"/>
  <c r="D854" i="2"/>
  <c r="D852" i="2"/>
  <c r="D849" i="2"/>
  <c r="D846" i="2"/>
  <c r="D844" i="2"/>
  <c r="D841" i="2"/>
  <c r="D838" i="2"/>
  <c r="D836" i="2"/>
  <c r="D834" i="2"/>
  <c r="D832" i="2"/>
  <c r="D830" i="2"/>
  <c r="D827" i="2"/>
  <c r="D825" i="2"/>
  <c r="D823" i="2"/>
  <c r="D821" i="2"/>
  <c r="D818" i="2"/>
  <c r="D814" i="2"/>
  <c r="D812" i="2"/>
  <c r="D810" i="2"/>
  <c r="D807" i="2"/>
  <c r="D805" i="2"/>
  <c r="D803" i="2"/>
  <c r="D801" i="2"/>
  <c r="D799" i="2"/>
  <c r="D797" i="2"/>
  <c r="D794" i="2"/>
  <c r="D792" i="2"/>
  <c r="D790" i="2"/>
  <c r="D788" i="2"/>
  <c r="D786" i="2"/>
  <c r="D784" i="2"/>
  <c r="D782" i="2"/>
  <c r="D780" i="2"/>
  <c r="D778" i="2"/>
  <c r="D776" i="2"/>
  <c r="D773" i="2"/>
  <c r="D771" i="2"/>
  <c r="D769" i="2"/>
  <c r="D767" i="2"/>
  <c r="D764" i="2"/>
  <c r="D762" i="2"/>
  <c r="D760" i="2"/>
  <c r="D758" i="2"/>
  <c r="D754" i="2"/>
  <c r="D752" i="2"/>
  <c r="D750" i="2"/>
  <c r="D748" i="2"/>
  <c r="D746" i="2"/>
  <c r="D742" i="2"/>
  <c r="D737" i="2"/>
  <c r="D733" i="2"/>
  <c r="D731" i="2"/>
  <c r="D729" i="2"/>
  <c r="D727" i="2"/>
  <c r="D725" i="2"/>
  <c r="D722" i="2"/>
  <c r="D720" i="2"/>
  <c r="D718" i="2"/>
  <c r="D716" i="2"/>
  <c r="D714" i="2"/>
  <c r="D711" i="2"/>
  <c r="D709" i="2"/>
  <c r="D707" i="2"/>
  <c r="D704" i="2"/>
  <c r="D702" i="2"/>
  <c r="D700" i="2"/>
  <c r="D698" i="2"/>
  <c r="D696" i="2"/>
  <c r="D694" i="2"/>
  <c r="D692" i="2"/>
  <c r="D690" i="2"/>
  <c r="D688" i="2"/>
  <c r="D684" i="2"/>
  <c r="D682" i="2"/>
  <c r="D680" i="2"/>
  <c r="D675" i="2"/>
  <c r="D673" i="2"/>
  <c r="D670" i="2"/>
  <c r="D666" i="2"/>
  <c r="D664" i="2"/>
  <c r="D662" i="2"/>
  <c r="D660" i="2"/>
  <c r="D658" i="2"/>
  <c r="D656" i="2"/>
  <c r="D653" i="2"/>
  <c r="D650" i="2"/>
  <c r="D647" i="2"/>
  <c r="D644" i="2"/>
  <c r="D641" i="2"/>
  <c r="D639" i="2"/>
  <c r="D637" i="2"/>
  <c r="D635" i="2"/>
  <c r="D633" i="2"/>
  <c r="D631" i="2"/>
  <c r="D629" i="2"/>
  <c r="D626" i="2"/>
  <c r="D624" i="2"/>
  <c r="D622" i="2"/>
  <c r="D620" i="2"/>
  <c r="D617" i="2"/>
  <c r="D615" i="2"/>
  <c r="D611" i="2"/>
  <c r="D609" i="2"/>
  <c r="D607" i="2"/>
  <c r="D605" i="2"/>
  <c r="D603" i="2"/>
  <c r="D600" i="2"/>
  <c r="D598" i="2"/>
  <c r="D595" i="2"/>
  <c r="D591" i="2"/>
  <c r="D589" i="2"/>
  <c r="D587" i="2"/>
  <c r="D585" i="2"/>
  <c r="D583" i="2"/>
  <c r="D581" i="2"/>
  <c r="D579" i="2"/>
  <c r="D575" i="2"/>
  <c r="D573" i="2"/>
  <c r="D571" i="2"/>
  <c r="D568" i="2"/>
  <c r="D566" i="2"/>
  <c r="D564" i="2"/>
  <c r="D562" i="2"/>
  <c r="D559" i="2"/>
  <c r="D557" i="2"/>
  <c r="D555" i="2"/>
  <c r="D553" i="2"/>
  <c r="D550" i="2"/>
  <c r="D548" i="2"/>
  <c r="D546" i="2"/>
  <c r="D544" i="2"/>
  <c r="D542" i="2"/>
  <c r="D540" i="2"/>
  <c r="D538" i="2"/>
  <c r="D536" i="2"/>
  <c r="D534" i="2"/>
  <c r="D532" i="2"/>
  <c r="D530" i="2"/>
  <c r="D527" i="2"/>
  <c r="D525" i="2"/>
  <c r="D523" i="2"/>
  <c r="D521" i="2"/>
  <c r="D518" i="2"/>
  <c r="D516" i="2"/>
  <c r="D514" i="2"/>
  <c r="D512" i="2"/>
  <c r="D510" i="2"/>
  <c r="D507" i="2"/>
  <c r="D505" i="2"/>
  <c r="D503" i="2"/>
  <c r="D501" i="2"/>
  <c r="D499" i="2"/>
  <c r="D496" i="2"/>
  <c r="D494" i="2"/>
  <c r="D492" i="2"/>
  <c r="D490" i="2"/>
  <c r="D488" i="2"/>
  <c r="D486" i="2"/>
  <c r="D484" i="2"/>
  <c r="D482" i="2"/>
  <c r="D480" i="2"/>
  <c r="D478" i="2"/>
  <c r="D476" i="2"/>
  <c r="D474" i="2"/>
  <c r="D472" i="2"/>
  <c r="D470" i="2"/>
  <c r="D468" i="2"/>
  <c r="D465" i="2"/>
  <c r="D462" i="2"/>
  <c r="D460" i="2"/>
  <c r="D458" i="2"/>
  <c r="D456" i="2"/>
  <c r="D454" i="2"/>
  <c r="D452" i="2"/>
  <c r="D450" i="2"/>
  <c r="D448" i="2"/>
  <c r="D445" i="2"/>
  <c r="D443" i="2"/>
  <c r="D440" i="2"/>
  <c r="D438" i="2"/>
  <c r="D435" i="2"/>
  <c r="D433" i="2"/>
  <c r="D431" i="2"/>
  <c r="D428" i="2"/>
  <c r="D426" i="2"/>
  <c r="D424" i="2"/>
  <c r="D422" i="2"/>
  <c r="D420" i="2"/>
  <c r="D417" i="2"/>
  <c r="D413" i="2"/>
  <c r="D411" i="2"/>
  <c r="D409" i="2"/>
  <c r="D407" i="2"/>
  <c r="D405" i="2"/>
  <c r="D403" i="2"/>
  <c r="D400" i="2"/>
  <c r="D396" i="2"/>
  <c r="D394" i="2"/>
  <c r="D392" i="2"/>
  <c r="D390" i="2"/>
  <c r="D388" i="2"/>
  <c r="D386" i="2"/>
  <c r="D384" i="2"/>
  <c r="D382" i="2"/>
  <c r="D380" i="2"/>
  <c r="D378" i="2"/>
  <c r="D376" i="2"/>
  <c r="D372" i="2"/>
  <c r="D370" i="2"/>
  <c r="D368" i="2"/>
  <c r="D365" i="2"/>
  <c r="D363" i="2"/>
  <c r="D360" i="2"/>
  <c r="D357" i="2"/>
  <c r="D355" i="2"/>
  <c r="D352" i="2"/>
  <c r="D349" i="2"/>
  <c r="D347" i="2"/>
  <c r="D343" i="2"/>
  <c r="D341" i="2"/>
  <c r="D339" i="2"/>
  <c r="D337" i="2"/>
  <c r="D335" i="2"/>
  <c r="D333" i="2"/>
  <c r="D330" i="2"/>
  <c r="D328" i="2"/>
  <c r="D326" i="2"/>
  <c r="D324" i="2"/>
  <c r="D322" i="2"/>
  <c r="D320" i="2"/>
  <c r="D317" i="2"/>
  <c r="D315" i="2"/>
  <c r="D313" i="2"/>
  <c r="D310" i="2"/>
  <c r="D308" i="2"/>
  <c r="D305" i="2"/>
  <c r="D302" i="2"/>
  <c r="D300" i="2"/>
  <c r="D298" i="2"/>
  <c r="D295" i="2"/>
  <c r="D293" i="2"/>
  <c r="D291" i="2"/>
  <c r="D289" i="2"/>
  <c r="D287" i="2"/>
  <c r="D284" i="2"/>
  <c r="D282" i="2"/>
  <c r="D280" i="2"/>
  <c r="D278" i="2"/>
  <c r="D274" i="2"/>
  <c r="D272" i="2"/>
  <c r="D269" i="2"/>
  <c r="D267" i="2"/>
  <c r="D264" i="2"/>
  <c r="D262" i="2"/>
  <c r="D260" i="2"/>
  <c r="D258" i="2"/>
  <c r="D256" i="2"/>
  <c r="D254" i="2"/>
  <c r="D251" i="2"/>
  <c r="D248" i="2"/>
  <c r="D246" i="2"/>
  <c r="D244" i="2"/>
  <c r="D242" i="2"/>
  <c r="D240" i="2"/>
  <c r="D238" i="2"/>
  <c r="D236" i="2"/>
  <c r="D234" i="2"/>
  <c r="D232" i="2"/>
  <c r="D230" i="2"/>
  <c r="D228" i="2"/>
  <c r="D226" i="2"/>
  <c r="D224" i="2"/>
  <c r="D222" i="2"/>
  <c r="D219" i="2"/>
  <c r="D217" i="2"/>
  <c r="D215" i="2"/>
  <c r="D212" i="2"/>
  <c r="D208" i="2"/>
  <c r="D206" i="2"/>
  <c r="D203" i="2"/>
  <c r="D201" i="2"/>
  <c r="D199" i="2"/>
  <c r="D197" i="2"/>
  <c r="D195" i="2"/>
  <c r="D193" i="2"/>
  <c r="D189" i="2"/>
  <c r="D187" i="2"/>
  <c r="D185" i="2"/>
  <c r="D183" i="2"/>
  <c r="D179" i="2"/>
  <c r="D177" i="2"/>
  <c r="D173" i="2"/>
  <c r="D171" i="2"/>
  <c r="D169" i="2"/>
  <c r="D167" i="2"/>
  <c r="D165" i="2"/>
  <c r="D163" i="2"/>
  <c r="D161" i="2"/>
  <c r="D159" i="2"/>
  <c r="D157" i="2"/>
  <c r="D154" i="2"/>
  <c r="D152" i="2"/>
  <c r="D149" i="2"/>
  <c r="D147" i="2"/>
  <c r="D145" i="2"/>
  <c r="D142" i="2"/>
  <c r="D140" i="2"/>
  <c r="D138" i="2"/>
  <c r="D136" i="2"/>
  <c r="D134" i="2"/>
  <c r="D130" i="2"/>
  <c r="D127" i="2"/>
  <c r="D124" i="2"/>
  <c r="D122" i="2"/>
  <c r="D120" i="2"/>
  <c r="D118" i="2"/>
  <c r="D115" i="2"/>
  <c r="D112" i="2"/>
  <c r="D110" i="2"/>
  <c r="D108" i="2"/>
  <c r="D106" i="2"/>
  <c r="D104" i="2"/>
  <c r="D102" i="2"/>
  <c r="D99" i="2"/>
  <c r="D97" i="2"/>
  <c r="D94" i="2"/>
  <c r="D92" i="2"/>
  <c r="D90" i="2"/>
  <c r="D87" i="2"/>
  <c r="D85" i="2"/>
  <c r="D82" i="2"/>
  <c r="D80" i="2"/>
  <c r="D76" i="2"/>
  <c r="D74" i="2"/>
  <c r="D71" i="2"/>
  <c r="D69" i="2"/>
  <c r="D66" i="2"/>
  <c r="D63" i="2"/>
  <c r="D61" i="2"/>
  <c r="D59" i="2"/>
  <c r="D57" i="2"/>
  <c r="D55" i="2"/>
  <c r="D52" i="2"/>
  <c r="D50" i="2"/>
  <c r="D48" i="2"/>
  <c r="D46" i="2"/>
  <c r="D44" i="2"/>
  <c r="D42" i="2"/>
  <c r="D40" i="2"/>
  <c r="D38" i="2"/>
  <c r="D34" i="2"/>
  <c r="D31" i="2"/>
  <c r="D28" i="2"/>
  <c r="D26" i="2"/>
  <c r="D24" i="2"/>
  <c r="D21" i="2"/>
  <c r="D19" i="2"/>
  <c r="D17" i="2"/>
  <c r="D14" i="2"/>
  <c r="D12" i="2"/>
  <c r="D10" i="2"/>
  <c r="D8" i="2"/>
  <c r="D6" i="2"/>
  <c r="D3" i="2"/>
  <c r="G1357" i="2"/>
  <c r="G1355" i="2"/>
  <c r="G1352" i="2"/>
  <c r="G1350" i="2"/>
  <c r="G1347" i="2"/>
  <c r="G1345" i="2"/>
  <c r="G1343" i="2"/>
  <c r="G1340" i="2"/>
  <c r="G1338" i="2"/>
  <c r="G1336" i="2"/>
  <c r="G1333" i="2"/>
  <c r="G1331" i="2"/>
  <c r="G1327" i="2"/>
  <c r="G1324" i="2"/>
  <c r="G1321" i="2"/>
  <c r="G1319" i="2"/>
  <c r="G1317" i="2"/>
  <c r="G1315" i="2"/>
  <c r="G1313" i="2"/>
  <c r="G1311" i="2"/>
  <c r="G1309" i="2"/>
  <c r="G1307" i="2"/>
  <c r="G1305" i="2"/>
  <c r="G1303" i="2"/>
  <c r="G1301" i="2"/>
  <c r="G1299" i="2"/>
  <c r="G1297" i="2"/>
  <c r="G1295" i="2"/>
  <c r="G1292" i="2"/>
  <c r="G1289" i="2"/>
  <c r="G1287" i="2"/>
  <c r="G1285" i="2"/>
  <c r="G1283" i="2"/>
  <c r="G1280" i="2"/>
  <c r="G1278" i="2"/>
  <c r="G1275" i="2"/>
  <c r="G1273" i="2"/>
  <c r="G1270" i="2"/>
  <c r="G1268" i="2"/>
  <c r="G1266" i="2"/>
  <c r="G1264" i="2"/>
  <c r="G1261" i="2"/>
  <c r="G1259" i="2"/>
  <c r="G1257" i="2"/>
  <c r="G1255" i="2"/>
  <c r="G1253" i="2"/>
  <c r="G1250" i="2"/>
  <c r="G1246" i="2"/>
  <c r="G1244" i="2"/>
  <c r="G1241" i="2"/>
  <c r="G1238" i="2"/>
  <c r="G1236" i="2"/>
  <c r="G1234" i="2"/>
  <c r="G1232" i="2"/>
  <c r="G1230" i="2"/>
  <c r="G1227" i="2"/>
  <c r="G1225" i="2"/>
  <c r="G1223" i="2"/>
  <c r="G1221" i="2"/>
  <c r="G1219" i="2"/>
  <c r="G1217" i="2"/>
  <c r="G1214" i="2"/>
  <c r="G1212" i="2"/>
  <c r="G1210" i="2"/>
  <c r="G1208" i="2"/>
  <c r="G1206" i="2"/>
  <c r="G1204" i="2"/>
  <c r="G1202" i="2"/>
  <c r="G1200" i="2"/>
  <c r="G1197" i="2"/>
  <c r="G1195" i="2"/>
  <c r="G1192" i="2"/>
  <c r="G1190" i="2"/>
  <c r="G1188" i="2"/>
  <c r="G1185" i="2"/>
  <c r="G1183" i="2"/>
  <c r="G1179" i="2"/>
  <c r="G1177" i="2"/>
  <c r="G1175" i="2"/>
  <c r="G1173" i="2"/>
  <c r="G1171" i="2"/>
  <c r="G1167" i="2"/>
  <c r="G1165" i="2"/>
  <c r="G1163" i="2"/>
  <c r="G1160" i="2"/>
  <c r="G1157" i="2"/>
  <c r="G1155" i="2"/>
  <c r="G1152" i="2"/>
  <c r="G1148" i="2"/>
  <c r="G1146" i="2"/>
  <c r="G1144" i="2"/>
  <c r="G1140" i="2"/>
  <c r="G1137" i="2"/>
  <c r="G1135" i="2"/>
  <c r="G1133" i="2"/>
  <c r="G1131" i="2"/>
  <c r="G1128" i="2"/>
  <c r="G1125" i="2"/>
  <c r="G1123" i="2"/>
  <c r="G1120" i="2"/>
  <c r="G1118" i="2"/>
  <c r="G1116" i="2"/>
  <c r="G1112" i="2"/>
  <c r="G1110" i="2"/>
  <c r="G1108" i="2"/>
  <c r="G1105" i="2"/>
  <c r="G1103" i="2"/>
  <c r="G1101" i="2"/>
  <c r="G1099" i="2"/>
  <c r="G1096" i="2"/>
  <c r="G1092" i="2"/>
  <c r="G1090" i="2"/>
  <c r="G1088" i="2"/>
  <c r="G1086" i="2"/>
  <c r="G1084" i="2"/>
  <c r="G1082" i="2"/>
  <c r="G1080" i="2"/>
  <c r="G1078" i="2"/>
  <c r="G1076" i="2"/>
  <c r="G1072" i="2"/>
  <c r="G1070" i="2"/>
  <c r="G1068" i="2"/>
  <c r="G1066" i="2"/>
  <c r="G1062" i="2"/>
  <c r="G1059" i="2"/>
  <c r="G1057" i="2"/>
  <c r="G1055" i="2"/>
  <c r="G1053" i="2"/>
  <c r="G1051" i="2"/>
  <c r="G1049" i="2"/>
  <c r="G1047" i="2"/>
  <c r="G1045" i="2"/>
  <c r="G1043" i="2"/>
  <c r="G1041" i="2"/>
  <c r="G1039" i="2"/>
  <c r="G1037" i="2"/>
  <c r="G1034" i="2"/>
  <c r="G1032" i="2"/>
  <c r="G1030" i="2"/>
  <c r="G1028" i="2"/>
  <c r="G1026" i="2"/>
  <c r="G1024" i="2"/>
  <c r="G1022" i="2"/>
  <c r="G1020" i="2"/>
  <c r="G1017" i="2"/>
  <c r="G1013" i="2"/>
  <c r="G1011" i="2"/>
  <c r="G1008" i="2"/>
  <c r="G1004" i="2"/>
  <c r="G1002" i="2"/>
  <c r="G1000" i="2"/>
  <c r="G998" i="2"/>
  <c r="G996" i="2"/>
  <c r="G993" i="2"/>
  <c r="G991" i="2"/>
  <c r="G989" i="2"/>
  <c r="G987" i="2"/>
  <c r="G985" i="2"/>
  <c r="G983" i="2"/>
  <c r="G981" i="2"/>
  <c r="G979" i="2"/>
  <c r="G977" i="2"/>
  <c r="G975" i="2"/>
  <c r="G972" i="2"/>
  <c r="G970" i="2"/>
  <c r="G967" i="2"/>
  <c r="G965" i="2"/>
  <c r="G963" i="2"/>
  <c r="G961" i="2"/>
  <c r="G959" i="2"/>
  <c r="G957" i="2"/>
  <c r="G955" i="2"/>
  <c r="G952" i="2"/>
  <c r="G950" i="2"/>
  <c r="G948" i="2"/>
  <c r="G946" i="2"/>
  <c r="G944" i="2"/>
  <c r="G941" i="2"/>
  <c r="G939" i="2"/>
  <c r="G937" i="2"/>
  <c r="G935" i="2"/>
  <c r="G933" i="2"/>
  <c r="G931" i="2"/>
  <c r="G929" i="2"/>
  <c r="G927" i="2"/>
  <c r="G924" i="2"/>
  <c r="G918" i="2"/>
  <c r="G916" i="2"/>
  <c r="G912" i="2"/>
  <c r="G910" i="2"/>
  <c r="G908" i="2"/>
  <c r="G906" i="2"/>
  <c r="G903" i="2"/>
  <c r="G901" i="2"/>
  <c r="G899" i="2"/>
  <c r="G897" i="2"/>
  <c r="G895" i="2"/>
  <c r="G891" i="2"/>
  <c r="G888" i="2"/>
  <c r="G886" i="2"/>
  <c r="G884" i="2"/>
  <c r="G882" i="2"/>
  <c r="G879" i="2"/>
  <c r="G877" i="2"/>
  <c r="G875" i="2"/>
  <c r="G873" i="2"/>
  <c r="G870" i="2"/>
  <c r="G868" i="2"/>
  <c r="G865" i="2"/>
  <c r="G862" i="2"/>
  <c r="G859" i="2"/>
  <c r="G856" i="2"/>
  <c r="G854" i="2"/>
  <c r="G852" i="2"/>
  <c r="G849" i="2"/>
  <c r="G846" i="2"/>
  <c r="G844" i="2"/>
  <c r="G841" i="2"/>
  <c r="G838" i="2"/>
  <c r="G836" i="2"/>
  <c r="G834" i="2"/>
  <c r="G832" i="2"/>
  <c r="G830" i="2"/>
  <c r="G827" i="2"/>
  <c r="G825" i="2"/>
  <c r="G823" i="2"/>
  <c r="G821" i="2"/>
  <c r="G818" i="2"/>
  <c r="G814" i="2"/>
  <c r="G812" i="2"/>
  <c r="G810" i="2"/>
  <c r="G807" i="2"/>
  <c r="G805" i="2"/>
  <c r="G803" i="2"/>
  <c r="G801" i="2"/>
  <c r="G799" i="2"/>
  <c r="G797" i="2"/>
  <c r="G794" i="2"/>
  <c r="G792" i="2"/>
  <c r="G790" i="2"/>
  <c r="G788" i="2"/>
  <c r="G786" i="2"/>
  <c r="G784" i="2"/>
  <c r="G782" i="2"/>
  <c r="G780" i="2"/>
  <c r="G778" i="2"/>
  <c r="G776" i="2"/>
  <c r="G773" i="2"/>
  <c r="G771" i="2"/>
  <c r="G769" i="2"/>
  <c r="G767" i="2"/>
  <c r="G764" i="2"/>
  <c r="G762" i="2"/>
  <c r="G760" i="2"/>
  <c r="G758" i="2"/>
  <c r="G754" i="2"/>
  <c r="G752" i="2"/>
  <c r="G750" i="2"/>
  <c r="G748" i="2"/>
  <c r="G746" i="2"/>
  <c r="G742" i="2"/>
  <c r="G737" i="2"/>
  <c r="G733" i="2"/>
  <c r="G731" i="2"/>
  <c r="G729" i="2"/>
  <c r="G727" i="2"/>
  <c r="G725" i="2"/>
  <c r="G722" i="2"/>
  <c r="G720" i="2"/>
  <c r="G718" i="2"/>
  <c r="G716" i="2"/>
  <c r="G714" i="2"/>
  <c r="G711" i="2"/>
  <c r="G709" i="2"/>
  <c r="G707" i="2"/>
  <c r="G704" i="2"/>
  <c r="G702" i="2"/>
  <c r="G700" i="2"/>
  <c r="G698" i="2"/>
  <c r="G696" i="2"/>
  <c r="G694" i="2"/>
  <c r="G692" i="2"/>
  <c r="G690" i="2"/>
  <c r="G688" i="2"/>
  <c r="G684" i="2"/>
  <c r="G682" i="2"/>
  <c r="G680" i="2"/>
  <c r="G675" i="2"/>
  <c r="G673" i="2"/>
  <c r="G670" i="2"/>
  <c r="G666" i="2"/>
  <c r="G664" i="2"/>
  <c r="G662" i="2"/>
  <c r="G660" i="2"/>
  <c r="G658" i="2"/>
  <c r="G656" i="2"/>
  <c r="G653" i="2"/>
  <c r="G650" i="2"/>
  <c r="G647" i="2"/>
  <c r="G644" i="2"/>
  <c r="G641" i="2"/>
  <c r="G639" i="2"/>
  <c r="G637" i="2"/>
  <c r="G635" i="2"/>
  <c r="G633" i="2"/>
  <c r="G631" i="2"/>
  <c r="G629" i="2"/>
  <c r="G626" i="2"/>
  <c r="G624" i="2"/>
  <c r="G622" i="2"/>
  <c r="G620" i="2"/>
  <c r="G617" i="2"/>
  <c r="G615" i="2"/>
  <c r="G611" i="2"/>
  <c r="G609" i="2"/>
  <c r="G607" i="2"/>
  <c r="G605" i="2"/>
  <c r="G603" i="2"/>
  <c r="G600" i="2"/>
  <c r="G598" i="2"/>
  <c r="G595" i="2"/>
  <c r="G591" i="2"/>
  <c r="G589" i="2"/>
  <c r="G587" i="2"/>
  <c r="G585" i="2"/>
  <c r="G583" i="2"/>
  <c r="G581" i="2"/>
  <c r="G579" i="2"/>
  <c r="G575" i="2"/>
  <c r="G573" i="2"/>
  <c r="G571" i="2"/>
  <c r="G568" i="2"/>
  <c r="G566" i="2"/>
  <c r="G564" i="2"/>
  <c r="G562" i="2"/>
  <c r="G559" i="2"/>
  <c r="G557" i="2"/>
  <c r="G555" i="2"/>
  <c r="G553" i="2"/>
  <c r="G550" i="2"/>
  <c r="G548" i="2"/>
  <c r="G546" i="2"/>
  <c r="G544" i="2"/>
  <c r="G542" i="2"/>
  <c r="G540" i="2"/>
  <c r="G538" i="2"/>
  <c r="G536" i="2"/>
  <c r="G534" i="2"/>
  <c r="G532" i="2"/>
  <c r="G530" i="2"/>
  <c r="G527" i="2"/>
  <c r="G525" i="2"/>
  <c r="G523" i="2"/>
  <c r="G521" i="2"/>
  <c r="G518" i="2"/>
  <c r="G516" i="2"/>
  <c r="G514" i="2"/>
  <c r="G512" i="2"/>
  <c r="G510" i="2"/>
  <c r="G507" i="2"/>
  <c r="G505" i="2"/>
  <c r="G503" i="2"/>
  <c r="G501" i="2"/>
  <c r="G499" i="2"/>
  <c r="G496" i="2"/>
  <c r="G494" i="2"/>
  <c r="G492" i="2"/>
  <c r="G490" i="2"/>
  <c r="G488" i="2"/>
  <c r="G486" i="2"/>
  <c r="G484" i="2"/>
  <c r="G482" i="2"/>
  <c r="G480" i="2"/>
  <c r="G478" i="2"/>
  <c r="G476" i="2"/>
  <c r="G474" i="2"/>
  <c r="G472" i="2"/>
  <c r="G470" i="2"/>
  <c r="G468" i="2"/>
  <c r="G465" i="2"/>
  <c r="G462" i="2"/>
  <c r="G460" i="2"/>
  <c r="G458" i="2"/>
  <c r="G456" i="2"/>
  <c r="G454" i="2"/>
  <c r="G452" i="2"/>
  <c r="G450" i="2"/>
  <c r="G448" i="2"/>
  <c r="G445" i="2"/>
  <c r="G443" i="2"/>
  <c r="G440" i="2"/>
  <c r="G438" i="2"/>
  <c r="G435" i="2"/>
  <c r="G433" i="2"/>
  <c r="G431" i="2"/>
  <c r="G428" i="2"/>
  <c r="G426" i="2"/>
  <c r="G424" i="2"/>
  <c r="G422" i="2"/>
  <c r="G420" i="2"/>
  <c r="G417" i="2"/>
  <c r="G413" i="2"/>
  <c r="G411" i="2"/>
  <c r="G409" i="2"/>
  <c r="G407" i="2"/>
  <c r="G405" i="2"/>
  <c r="G403" i="2"/>
  <c r="G400" i="2"/>
  <c r="G396" i="2"/>
  <c r="G394" i="2"/>
  <c r="G392" i="2"/>
  <c r="G390" i="2"/>
  <c r="G388" i="2"/>
  <c r="G386" i="2"/>
  <c r="G384" i="2"/>
  <c r="G382" i="2"/>
  <c r="G380" i="2"/>
  <c r="G378" i="2"/>
  <c r="G376" i="2"/>
  <c r="G372" i="2"/>
  <c r="G370" i="2"/>
  <c r="G368" i="2"/>
  <c r="G365" i="2"/>
  <c r="G363" i="2"/>
  <c r="G360" i="2"/>
  <c r="G357" i="2"/>
  <c r="G355" i="2"/>
  <c r="G352" i="2"/>
  <c r="G349" i="2"/>
  <c r="G347" i="2"/>
  <c r="G343" i="2"/>
  <c r="G341" i="2"/>
  <c r="G339" i="2"/>
  <c r="G337" i="2"/>
  <c r="G335" i="2"/>
  <c r="G333" i="2"/>
  <c r="G330" i="2"/>
  <c r="G328" i="2"/>
  <c r="G326" i="2"/>
  <c r="G324" i="2"/>
  <c r="G322" i="2"/>
  <c r="G320" i="2"/>
  <c r="G317" i="2"/>
  <c r="G315" i="2"/>
  <c r="G313" i="2"/>
  <c r="G310" i="2"/>
  <c r="G308" i="2"/>
  <c r="G305" i="2"/>
  <c r="G302" i="2"/>
  <c r="G300" i="2"/>
  <c r="G298" i="2"/>
  <c r="G295" i="2"/>
  <c r="G293" i="2"/>
  <c r="G291" i="2"/>
  <c r="G289" i="2"/>
  <c r="G287" i="2"/>
  <c r="G284" i="2"/>
  <c r="G282" i="2"/>
  <c r="G280" i="2"/>
  <c r="G278" i="2"/>
  <c r="G274" i="2"/>
  <c r="G272" i="2"/>
  <c r="G269" i="2"/>
  <c r="G267" i="2"/>
  <c r="G264" i="2"/>
  <c r="G262" i="2"/>
  <c r="G260" i="2"/>
  <c r="G258" i="2"/>
  <c r="G256" i="2"/>
  <c r="G254" i="2"/>
  <c r="G251" i="2"/>
  <c r="G248" i="2"/>
  <c r="G246" i="2"/>
  <c r="G244" i="2"/>
  <c r="G242" i="2"/>
  <c r="G240" i="2"/>
  <c r="G238" i="2"/>
  <c r="G236" i="2"/>
  <c r="G234" i="2"/>
  <c r="G232" i="2"/>
  <c r="G230" i="2"/>
  <c r="G228" i="2"/>
  <c r="G226" i="2"/>
  <c r="G224" i="2"/>
  <c r="G222" i="2"/>
  <c r="G219" i="2"/>
  <c r="G217" i="2"/>
  <c r="G215" i="2"/>
  <c r="G212" i="2"/>
  <c r="G208" i="2"/>
  <c r="G206" i="2"/>
  <c r="G203" i="2"/>
  <c r="G201" i="2"/>
  <c r="G199" i="2"/>
  <c r="G197" i="2"/>
  <c r="G195" i="2"/>
  <c r="G193" i="2"/>
  <c r="G189" i="2"/>
  <c r="G187" i="2"/>
  <c r="G185" i="2"/>
  <c r="G183" i="2"/>
  <c r="G179" i="2"/>
  <c r="G177" i="2"/>
  <c r="G173" i="2"/>
  <c r="G171" i="2"/>
  <c r="G169" i="2"/>
  <c r="G167" i="2"/>
  <c r="G165" i="2"/>
  <c r="G163" i="2"/>
  <c r="G161" i="2"/>
  <c r="G159" i="2"/>
  <c r="G157" i="2"/>
  <c r="G154" i="2"/>
  <c r="G152" i="2"/>
  <c r="G149" i="2"/>
  <c r="G147" i="2"/>
  <c r="G145" i="2"/>
  <c r="G142" i="2"/>
  <c r="G140" i="2"/>
  <c r="G138" i="2"/>
  <c r="G136" i="2"/>
  <c r="G134" i="2"/>
  <c r="G130" i="2"/>
  <c r="G127" i="2"/>
  <c r="G124" i="2"/>
  <c r="G122" i="2"/>
  <c r="G120" i="2"/>
  <c r="G118" i="2"/>
  <c r="G115" i="2"/>
  <c r="G112" i="2"/>
  <c r="G110" i="2"/>
  <c r="G108" i="2"/>
  <c r="G106" i="2"/>
  <c r="G104" i="2"/>
  <c r="G102" i="2"/>
  <c r="G99" i="2"/>
  <c r="G97" i="2"/>
  <c r="G94" i="2"/>
  <c r="G92" i="2"/>
  <c r="G90" i="2"/>
  <c r="G87" i="2"/>
  <c r="G85" i="2"/>
  <c r="G82" i="2"/>
  <c r="G80" i="2"/>
  <c r="G76" i="2"/>
  <c r="G74" i="2"/>
  <c r="G71" i="2"/>
  <c r="G69" i="2"/>
  <c r="G66" i="2"/>
  <c r="G63" i="2"/>
  <c r="G61" i="2"/>
  <c r="G59" i="2"/>
  <c r="G57" i="2"/>
  <c r="G55" i="2"/>
  <c r="G52" i="2"/>
  <c r="G50" i="2"/>
  <c r="G48" i="2"/>
  <c r="G46" i="2"/>
  <c r="G44" i="2"/>
  <c r="G42" i="2"/>
  <c r="G40" i="2"/>
  <c r="G38" i="2"/>
  <c r="G34" i="2"/>
  <c r="G31" i="2"/>
  <c r="G28" i="2"/>
  <c r="G26" i="2"/>
  <c r="G24" i="2"/>
  <c r="G21" i="2"/>
  <c r="G19" i="2"/>
  <c r="G17" i="2"/>
  <c r="G14" i="2"/>
  <c r="G12" i="2"/>
  <c r="G10" i="2"/>
  <c r="G8" i="2"/>
  <c r="G6" i="2"/>
  <c r="G3" i="2"/>
  <c r="G1358" i="2" l="1"/>
</calcChain>
</file>

<file path=xl/sharedStrings.xml><?xml version="1.0" encoding="utf-8"?>
<sst xmlns="http://schemas.openxmlformats.org/spreadsheetml/2006/main" count="8014" uniqueCount="1532">
  <si>
    <t>Purchase ID</t>
  </si>
  <si>
    <t>SN</t>
  </si>
  <si>
    <t>Age</t>
  </si>
  <si>
    <t>Gender</t>
  </si>
  <si>
    <t>Item ID</t>
  </si>
  <si>
    <t>Item Name</t>
  </si>
  <si>
    <t>Price</t>
  </si>
  <si>
    <t>Lisim78</t>
  </si>
  <si>
    <t>Male</t>
  </si>
  <si>
    <t>Extraction, Quickblade Of Trembling Hands</t>
  </si>
  <si>
    <t>Lisovynya38</t>
  </si>
  <si>
    <t>Frenzied Scimitar</t>
  </si>
  <si>
    <t>Ithergue48</t>
  </si>
  <si>
    <t>Final Critic</t>
  </si>
  <si>
    <t>Chamassasya86</t>
  </si>
  <si>
    <t>Blindscythe</t>
  </si>
  <si>
    <t>Iskosia90</t>
  </si>
  <si>
    <t>Fury</t>
  </si>
  <si>
    <t>Yalae81</t>
  </si>
  <si>
    <t>Dreamkiss</t>
  </si>
  <si>
    <t>Itheria73</t>
  </si>
  <si>
    <t>Interrogator, Blood Blade of the Queen</t>
  </si>
  <si>
    <t>Iskjaskst81</t>
  </si>
  <si>
    <t>Abyssal Shard</t>
  </si>
  <si>
    <t>Undjask33</t>
  </si>
  <si>
    <t>Souleater</t>
  </si>
  <si>
    <t>Chanosian48</t>
  </si>
  <si>
    <t>Other / Non-Disclosed</t>
  </si>
  <si>
    <t>Ghastly Adamantite Protector</t>
  </si>
  <si>
    <t>Inguron55</t>
  </si>
  <si>
    <t>Singed Onyx Warscythe</t>
  </si>
  <si>
    <t>Haisrisuir60</t>
  </si>
  <si>
    <t>Saelaephos52</t>
  </si>
  <si>
    <t>Renewed Skeletal Katana</t>
  </si>
  <si>
    <t>Assjaskan73</t>
  </si>
  <si>
    <t>Bloodlord's Fetish</t>
  </si>
  <si>
    <t>Saesrideu94</t>
  </si>
  <si>
    <t>Bone Crushing Silver Skewer</t>
  </si>
  <si>
    <t>Lisassa64</t>
  </si>
  <si>
    <t>Female</t>
  </si>
  <si>
    <t>Deadline, Voice Of Subtlety</t>
  </si>
  <si>
    <t>Lisirra25</t>
  </si>
  <si>
    <t>Second Chance</t>
  </si>
  <si>
    <t>Zontibe81</t>
  </si>
  <si>
    <t>Devine</t>
  </si>
  <si>
    <t>Reunasu60</t>
  </si>
  <si>
    <t>Nirvana</t>
  </si>
  <si>
    <t>Chamalo71</t>
  </si>
  <si>
    <t>Blazefury, Protector of Delusions</t>
  </si>
  <si>
    <t>Iathenudil29</t>
  </si>
  <si>
    <t>Despair, Favor of Due Diligence</t>
  </si>
  <si>
    <t>Phiarithdeu40</t>
  </si>
  <si>
    <t>Sun Strike, Jaws of Twisted Visions</t>
  </si>
  <si>
    <t>Siarithria38</t>
  </si>
  <si>
    <t>Warped Fetish</t>
  </si>
  <si>
    <t>Eyrian71</t>
  </si>
  <si>
    <t>Severance</t>
  </si>
  <si>
    <t>Siala43</t>
  </si>
  <si>
    <t>Persuasion</t>
  </si>
  <si>
    <t>Lisirra87</t>
  </si>
  <si>
    <t>Oathbreaker, Last Hope of the Breaking Storm</t>
  </si>
  <si>
    <t>Lirtossa84</t>
  </si>
  <si>
    <t>Demise</t>
  </si>
  <si>
    <t>Eusri44</t>
  </si>
  <si>
    <t>Blood-Forged Skeletal Spine</t>
  </si>
  <si>
    <t>Aela59</t>
  </si>
  <si>
    <t>Stormbringer, Dark Blade of Ending Misery</t>
  </si>
  <si>
    <t>Tyida79</t>
  </si>
  <si>
    <t>Shadow Strike, Glory of Ending Hope</t>
  </si>
  <si>
    <t>Idai61</t>
  </si>
  <si>
    <t>Striker</t>
  </si>
  <si>
    <t>Farusrian86</t>
  </si>
  <si>
    <t>Wolf, Promise of the Moonwalker</t>
  </si>
  <si>
    <t>Aeralria27</t>
  </si>
  <si>
    <t>Faith's Scimitar</t>
  </si>
  <si>
    <t>Haillyrgue51</t>
  </si>
  <si>
    <t>Bonecarvin Battle Axe</t>
  </si>
  <si>
    <t>Sondim73</t>
  </si>
  <si>
    <t>Azurewrath</t>
  </si>
  <si>
    <t>Jeyciman68</t>
  </si>
  <si>
    <t>Vengeance Cleaver</t>
  </si>
  <si>
    <t>Idaisuir85</t>
  </si>
  <si>
    <t>Haunted Bronzed Bludgeon</t>
  </si>
  <si>
    <t>Seuthep89</t>
  </si>
  <si>
    <t>Ritual Mace</t>
  </si>
  <si>
    <t>Reulae52</t>
  </si>
  <si>
    <t>Sondilsaya62</t>
  </si>
  <si>
    <t>Blade of the Grave</t>
  </si>
  <si>
    <t>Aerithriaphos45</t>
  </si>
  <si>
    <t>Assosia88</t>
  </si>
  <si>
    <t>Thorn, Satchel of Dark Souls</t>
  </si>
  <si>
    <t>Aidaillodeu39</t>
  </si>
  <si>
    <t>Winter's Bite</t>
  </si>
  <si>
    <t>Aelly27</t>
  </si>
  <si>
    <t>Tyeosri53</t>
  </si>
  <si>
    <t>Thorn, Conqueror of the Corrupted</t>
  </si>
  <si>
    <t>Haerith37</t>
  </si>
  <si>
    <t>Reaper's Toll</t>
  </si>
  <si>
    <t>Yasrisu92</t>
  </si>
  <si>
    <t>Avenger</t>
  </si>
  <si>
    <t>Chanuchi25</t>
  </si>
  <si>
    <t>Shadowsteel</t>
  </si>
  <si>
    <t>Asur96</t>
  </si>
  <si>
    <t>Peacekeeper, Wit of Dark Magic</t>
  </si>
  <si>
    <t>Iaralrgue74</t>
  </si>
  <si>
    <t>Suspension</t>
  </si>
  <si>
    <t>Amnesia</t>
  </si>
  <si>
    <t>Chanosia34</t>
  </si>
  <si>
    <t>Soul Infused Crystal</t>
  </si>
  <si>
    <t>Aelin32</t>
  </si>
  <si>
    <t>Wolf</t>
  </si>
  <si>
    <t>Ilosianya35</t>
  </si>
  <si>
    <t>Relentless Iron Skewer</t>
  </si>
  <si>
    <t>Zhisrisu83</t>
  </si>
  <si>
    <t>Hero Cane</t>
  </si>
  <si>
    <t>Phaelap26</t>
  </si>
  <si>
    <t>Arcane Gem</t>
  </si>
  <si>
    <t>Raesty92</t>
  </si>
  <si>
    <t>Palyon91</t>
  </si>
  <si>
    <t>Dreamsong</t>
  </si>
  <si>
    <t>Tyisur83</t>
  </si>
  <si>
    <t>Darkheart</t>
  </si>
  <si>
    <t>Yaliru88</t>
  </si>
  <si>
    <t>Hailstorm Shadowsteel Scythe</t>
  </si>
  <si>
    <t>Yadanu52</t>
  </si>
  <si>
    <t>Jiskimya77</t>
  </si>
  <si>
    <t>Yadaphos40</t>
  </si>
  <si>
    <t>Alo38</t>
  </si>
  <si>
    <t>Whistling Mithril Warblade</t>
  </si>
  <si>
    <t>Phaena87</t>
  </si>
  <si>
    <t>Foul Titanium Battle Axe</t>
  </si>
  <si>
    <t>Chamirraya83</t>
  </si>
  <si>
    <t>Retribution Axe</t>
  </si>
  <si>
    <t>Chanastsda67</t>
  </si>
  <si>
    <t>Rusty Skull</t>
  </si>
  <si>
    <t>Indonmol95</t>
  </si>
  <si>
    <t>Riddle, Tribute of Ended Dreams</t>
  </si>
  <si>
    <t>Jiskossa61</t>
  </si>
  <si>
    <t>Pheodai94</t>
  </si>
  <si>
    <t>Hari50</t>
  </si>
  <si>
    <t>Chaos, Ender of the End</t>
  </si>
  <si>
    <t>Marilsa69</t>
  </si>
  <si>
    <t>Assistasda42</t>
  </si>
  <si>
    <t>Storm-Weaver, Slayer of Inception</t>
  </si>
  <si>
    <t>Lisosia93</t>
  </si>
  <si>
    <t>Philodil43</t>
  </si>
  <si>
    <t>Venom Claymore</t>
  </si>
  <si>
    <t>Mindadaran26</t>
  </si>
  <si>
    <t>Emberling, Defender of Delusions</t>
  </si>
  <si>
    <t>Lirtosia63</t>
  </si>
  <si>
    <t>Netherbane</t>
  </si>
  <si>
    <t>Dawn</t>
  </si>
  <si>
    <t>Assjaskan56</t>
  </si>
  <si>
    <t>Irithlis29</t>
  </si>
  <si>
    <t>Heudai45</t>
  </si>
  <si>
    <t>Primitive Blade</t>
  </si>
  <si>
    <t>Haerithp41</t>
  </si>
  <si>
    <t>Aina42</t>
  </si>
  <si>
    <t>Dawne</t>
  </si>
  <si>
    <t>Jiskjask60</t>
  </si>
  <si>
    <t>Umolrian85</t>
  </si>
  <si>
    <t>Curved Axe</t>
  </si>
  <si>
    <t>Qarirwen82</t>
  </si>
  <si>
    <t>Fate, Vengeance of Eternal Justice</t>
  </si>
  <si>
    <t>Laedallo55</t>
  </si>
  <si>
    <t>Eoralrap26</t>
  </si>
  <si>
    <t>Lazarus, Terror of the Earth</t>
  </si>
  <si>
    <t>Undosian34</t>
  </si>
  <si>
    <t>Chadolyla44</t>
  </si>
  <si>
    <t>Lightning, Etcher of the King</t>
  </si>
  <si>
    <t>Chadistaya75</t>
  </si>
  <si>
    <t>Betrayal, Whisper of Grieving Widows</t>
  </si>
  <si>
    <t>Yathedeu43</t>
  </si>
  <si>
    <t>Aina43</t>
  </si>
  <si>
    <t>Ilassast39</t>
  </si>
  <si>
    <t>Exiled Doomblade</t>
  </si>
  <si>
    <t>Lisassala98</t>
  </si>
  <si>
    <t>Aiduecal76</t>
  </si>
  <si>
    <t>Undead Crusader</t>
  </si>
  <si>
    <t>Chadossa89</t>
  </si>
  <si>
    <t>Pheodaisun84</t>
  </si>
  <si>
    <t>Heollyriap59</t>
  </si>
  <si>
    <t>Maropast28</t>
  </si>
  <si>
    <t>Downfall, Scalpel Of The Emperor</t>
  </si>
  <si>
    <t>Frichim77</t>
  </si>
  <si>
    <t>Thryallym62</t>
  </si>
  <si>
    <t>Eulanurin88</t>
  </si>
  <si>
    <t>Sleepwalker</t>
  </si>
  <si>
    <t>Lassjaskan73</t>
  </si>
  <si>
    <t>Eternal Cleaver</t>
  </si>
  <si>
    <t>Tyaerith73</t>
  </si>
  <si>
    <t>Expiration, Warscythe Of Lost Worlds</t>
  </si>
  <si>
    <t>Sondadarya58</t>
  </si>
  <si>
    <t>Malificent Bag</t>
  </si>
  <si>
    <t>Hirirap39</t>
  </si>
  <si>
    <t>Ririp86</t>
  </si>
  <si>
    <t>Mercy, Katana of Dismay</t>
  </si>
  <si>
    <t>Sundim98</t>
  </si>
  <si>
    <t>Orbit</t>
  </si>
  <si>
    <t>Iskichinya81</t>
  </si>
  <si>
    <t>Phyali88</t>
  </si>
  <si>
    <t>Undirrala66</t>
  </si>
  <si>
    <t>Deathraze</t>
  </si>
  <si>
    <t>Nitherian58</t>
  </si>
  <si>
    <t>Serenity</t>
  </si>
  <si>
    <t>Lassilsala30</t>
  </si>
  <si>
    <t>Frichaststa61</t>
  </si>
  <si>
    <t>Heartstriker, Legacy of the Light</t>
  </si>
  <si>
    <t>Glimmer, Ender of the Moon</t>
  </si>
  <si>
    <t>Frichosia58</t>
  </si>
  <si>
    <t>Deluge, Edge of the West</t>
  </si>
  <si>
    <t>Ilosia37</t>
  </si>
  <si>
    <t>Crucifer</t>
  </si>
  <si>
    <t>Lisista27</t>
  </si>
  <si>
    <t>Seudaillorap38</t>
  </si>
  <si>
    <t>Aesty53</t>
  </si>
  <si>
    <t>Yathecal82</t>
  </si>
  <si>
    <t>Piece Maker</t>
  </si>
  <si>
    <t>Brutality Ivory Warmace</t>
  </si>
  <si>
    <t>Lisossanya98</t>
  </si>
  <si>
    <t>Iral74</t>
  </si>
  <si>
    <t>Freak's Bite, Favor of Holy Might</t>
  </si>
  <si>
    <t>Lisast87</t>
  </si>
  <si>
    <t>Yearning Crusher</t>
  </si>
  <si>
    <t>Maridisya31</t>
  </si>
  <si>
    <t>Agatha</t>
  </si>
  <si>
    <t>Jiskassa76</t>
  </si>
  <si>
    <t>Fiery Glass Crusader</t>
  </si>
  <si>
    <t>Splinter</t>
  </si>
  <si>
    <t>Verdict</t>
  </si>
  <si>
    <t>Ethriel85</t>
  </si>
  <si>
    <t>Warped Iron Scimitar</t>
  </si>
  <si>
    <t>Iskirra45</t>
  </si>
  <si>
    <t>Iri67</t>
  </si>
  <si>
    <t>Rarallo90</t>
  </si>
  <si>
    <t>Lisasi93</t>
  </si>
  <si>
    <t>Darkheart, Butcher of the Champion</t>
  </si>
  <si>
    <t>Purgatory, Gem of Regret</t>
  </si>
  <si>
    <t>Adastirin33</t>
  </si>
  <si>
    <t>Woeful Adamantite Claymore</t>
  </si>
  <si>
    <t>Eyista89</t>
  </si>
  <si>
    <t>Ili43</t>
  </si>
  <si>
    <t>Chamirra53</t>
  </si>
  <si>
    <t>Hopeless Ebon Dualblade</t>
  </si>
  <si>
    <t>Hailaphos89</t>
  </si>
  <si>
    <t>Iskadarya95</t>
  </si>
  <si>
    <t>Warmonger, Gift of Suffering's End</t>
  </si>
  <si>
    <t>Qilatista90</t>
  </si>
  <si>
    <t>Inasti31</t>
  </si>
  <si>
    <t>Marilsanya48</t>
  </si>
  <si>
    <t>Marjask87</t>
  </si>
  <si>
    <t>Chanjaskan89</t>
  </si>
  <si>
    <t>Hyaduesu61</t>
  </si>
  <si>
    <t>Aillyrin83</t>
  </si>
  <si>
    <t>Marast30</t>
  </si>
  <si>
    <t>Sundadar27</t>
  </si>
  <si>
    <t>Misery's End</t>
  </si>
  <si>
    <t>Tyaelorap29</t>
  </si>
  <si>
    <t>Lirtimst73</t>
  </si>
  <si>
    <t>Phantomlight</t>
  </si>
  <si>
    <t>Styaduen40</t>
  </si>
  <si>
    <t>Sidap51</t>
  </si>
  <si>
    <t>Conqueror Adamantite Mace</t>
  </si>
  <si>
    <t>Chanastst38</t>
  </si>
  <si>
    <t>Lirtassa52</t>
  </si>
  <si>
    <t>Dragon's Greatsword</t>
  </si>
  <si>
    <t>Sondim68</t>
  </si>
  <si>
    <t>Stormcaller</t>
  </si>
  <si>
    <t>Aeral97</t>
  </si>
  <si>
    <t>Spada, Etcher of Hatred</t>
  </si>
  <si>
    <t>Heosurnuru52</t>
  </si>
  <si>
    <t>Twilight's Carver</t>
  </si>
  <si>
    <t>Lisopela58</t>
  </si>
  <si>
    <t>Caesrinusuir82</t>
  </si>
  <si>
    <t>Tyirinu79</t>
  </si>
  <si>
    <t>Fironon91</t>
  </si>
  <si>
    <t>Putrid Fan</t>
  </si>
  <si>
    <t>Lassjask63</t>
  </si>
  <si>
    <t>Blood Infused Guardian</t>
  </si>
  <si>
    <t>Indcil77</t>
  </si>
  <si>
    <t>Singed Scalpel</t>
  </si>
  <si>
    <t>Chamimla73</t>
  </si>
  <si>
    <t>Syathe73</t>
  </si>
  <si>
    <t>Warped Diamond Crusader</t>
  </si>
  <si>
    <t>Baelollodeu94</t>
  </si>
  <si>
    <t>Mindista32</t>
  </si>
  <si>
    <t>Saena74</t>
  </si>
  <si>
    <t>Marirrasta50</t>
  </si>
  <si>
    <t>Endbringer</t>
  </si>
  <si>
    <t>Lamil79</t>
  </si>
  <si>
    <t>Feral Katana</t>
  </si>
  <si>
    <t>Aenarap34</t>
  </si>
  <si>
    <t>Aisur51</t>
  </si>
  <si>
    <t>Orenmir</t>
  </si>
  <si>
    <t>Thrientossa55</t>
  </si>
  <si>
    <t>Chadista79</t>
  </si>
  <si>
    <t>Piety, Guardian of Riddles</t>
  </si>
  <si>
    <t>Tyeurith29</t>
  </si>
  <si>
    <t>Brimstone</t>
  </si>
  <si>
    <t>Malunil62</t>
  </si>
  <si>
    <t>Hiasri33</t>
  </si>
  <si>
    <t>Stormfury Mace</t>
  </si>
  <si>
    <t>Lisadar44</t>
  </si>
  <si>
    <t>Frenzy, Defender of the Harvest</t>
  </si>
  <si>
    <t>Frichjask31</t>
  </si>
  <si>
    <t>Lisjaskya84</t>
  </si>
  <si>
    <t>Ristydru66</t>
  </si>
  <si>
    <t>Frichast28</t>
  </si>
  <si>
    <t>Minduri31</t>
  </si>
  <si>
    <t>Solitude's Reaver</t>
  </si>
  <si>
    <t>Maradaran90</t>
  </si>
  <si>
    <t>Mindetosya30</t>
  </si>
  <si>
    <t>Mercenary Sabre</t>
  </si>
  <si>
    <t>Ialallo29</t>
  </si>
  <si>
    <t>Pheusrical25</t>
  </si>
  <si>
    <t>Yearning Mageblade</t>
  </si>
  <si>
    <t>Chanosia60</t>
  </si>
  <si>
    <t>Phistym51</t>
  </si>
  <si>
    <t>Aelollo59</t>
  </si>
  <si>
    <t>Chamimla85</t>
  </si>
  <si>
    <t>Tranquility, Razor of Black Magic</t>
  </si>
  <si>
    <t>Haisurra41</t>
  </si>
  <si>
    <t>Sondastsda82</t>
  </si>
  <si>
    <t>Qilanrion65</t>
  </si>
  <si>
    <t>Eulasuir89</t>
  </si>
  <si>
    <t>Eosrirgue62</t>
  </si>
  <si>
    <t>Shaidanu32</t>
  </si>
  <si>
    <t>Oathbreaker, Spellblade of Trials</t>
  </si>
  <si>
    <t>Lirtastan49</t>
  </si>
  <si>
    <t>Iaralsuir44</t>
  </si>
  <si>
    <t>Aetherius, Boon of the Blessed</t>
  </si>
  <si>
    <t>Tyeudariasuir90</t>
  </si>
  <si>
    <t>Cosadar58</t>
  </si>
  <si>
    <t>Aelastirin39</t>
  </si>
  <si>
    <t>Aidai53</t>
  </si>
  <si>
    <t>Jiskjask85</t>
  </si>
  <si>
    <t>Ealrion88</t>
  </si>
  <si>
    <t>Chamjask73</t>
  </si>
  <si>
    <t>Righteous Might</t>
  </si>
  <si>
    <t>Tyaenasti87</t>
  </si>
  <si>
    <t>Alim85</t>
  </si>
  <si>
    <t>Haeladil46</t>
  </si>
  <si>
    <t>Jiskirran77</t>
  </si>
  <si>
    <t>Undosia27</t>
  </si>
  <si>
    <t>Peorith44</t>
  </si>
  <si>
    <t>Yarithsurgue62</t>
  </si>
  <si>
    <t>Taeduenu92</t>
  </si>
  <si>
    <t>Victor Iron Spikes</t>
  </si>
  <si>
    <t>Swan Song, Gouger Of Terror</t>
  </si>
  <si>
    <t>Rairin89</t>
  </si>
  <si>
    <t>Thunderfury Scimitar</t>
  </si>
  <si>
    <t>Aerithriaphos46</t>
  </si>
  <si>
    <t>Splitter, Foe Of Subtlety</t>
  </si>
  <si>
    <t>Idairin51</t>
  </si>
  <si>
    <t>Restored Bauble</t>
  </si>
  <si>
    <t>Lisista54</t>
  </si>
  <si>
    <t>The Decapitator</t>
  </si>
  <si>
    <t>Eodailis27</t>
  </si>
  <si>
    <t>Pursuit, Cudgel of Necromancy</t>
  </si>
  <si>
    <t>Lirtastsda29</t>
  </si>
  <si>
    <t>Undilsan50</t>
  </si>
  <si>
    <t>Eodaisu60</t>
  </si>
  <si>
    <t>Quaranmol58</t>
  </si>
  <si>
    <t>Lifebender</t>
  </si>
  <si>
    <t>Lirtossa60</t>
  </si>
  <si>
    <t>Lirtilsa71</t>
  </si>
  <si>
    <t>Isursuir31</t>
  </si>
  <si>
    <t>Sundirrala66</t>
  </si>
  <si>
    <t>Saerallora71</t>
  </si>
  <si>
    <t>Iasur80</t>
  </si>
  <si>
    <t>Tyaelo67</t>
  </si>
  <si>
    <t>Flux, Destroyer of Due Diligence</t>
  </si>
  <si>
    <t>Quanunwen42</t>
  </si>
  <si>
    <t>Mourning Blade</t>
  </si>
  <si>
    <t>Toothpick</t>
  </si>
  <si>
    <t>Yasur35</t>
  </si>
  <si>
    <t>Assehoan67</t>
  </si>
  <si>
    <t>Haellysu29</t>
  </si>
  <si>
    <t>Saida58</t>
  </si>
  <si>
    <t>Hope's End</t>
  </si>
  <si>
    <t>Chamadar79</t>
  </si>
  <si>
    <t>Aeral43</t>
  </si>
  <si>
    <t>Lirtirra37</t>
  </si>
  <si>
    <t>Tyidaim51</t>
  </si>
  <si>
    <t>Lassassast73</t>
  </si>
  <si>
    <t>Torchlight, Bond of Storms</t>
  </si>
  <si>
    <t>Assassasta79</t>
  </si>
  <si>
    <t>Heollyra92</t>
  </si>
  <si>
    <t>Thirsty Iron Reaver</t>
  </si>
  <si>
    <t>Anallorgue57</t>
  </si>
  <si>
    <t>Aerithllora36</t>
  </si>
  <si>
    <t>Smaistysu35</t>
  </si>
  <si>
    <t>Stormfury Longsword</t>
  </si>
  <si>
    <t>Ennalmol65</t>
  </si>
  <si>
    <t>Malice, Legacy of the Queen</t>
  </si>
  <si>
    <t>Yarithrgue83</t>
  </si>
  <si>
    <t>Yana46</t>
  </si>
  <si>
    <t>Sondimla25</t>
  </si>
  <si>
    <t>Aidai61</t>
  </si>
  <si>
    <t>War-Forged Gold Deflector</t>
  </si>
  <si>
    <t>Wailin72</t>
  </si>
  <si>
    <t>Firan91</t>
  </si>
  <si>
    <t>Blazeguard, Reach of Eternity</t>
  </si>
  <si>
    <t>Alaesu91</t>
  </si>
  <si>
    <t>Aellynun67</t>
  </si>
  <si>
    <t>Rilaera56</t>
  </si>
  <si>
    <t>Eulaestira36</t>
  </si>
  <si>
    <t>Soul-Forged Steel Shortsword</t>
  </si>
  <si>
    <t>Marim28</t>
  </si>
  <si>
    <t>Idastidru52</t>
  </si>
  <si>
    <t>Hellreaver, Heirloom of Inception</t>
  </si>
  <si>
    <t>Heartless Bone Dualblade</t>
  </si>
  <si>
    <t>Ilirrasda54</t>
  </si>
  <si>
    <t>Scalpel</t>
  </si>
  <si>
    <t>Alaephos75</t>
  </si>
  <si>
    <t>Hatred</t>
  </si>
  <si>
    <t>Syalollorap93</t>
  </si>
  <si>
    <t>Minduli80</t>
  </si>
  <si>
    <t>Chanastya70</t>
  </si>
  <si>
    <t>Frichadaran88</t>
  </si>
  <si>
    <t>Crying Steel Sickle</t>
  </si>
  <si>
    <t>Siallylis44</t>
  </si>
  <si>
    <t>Aeri84</t>
  </si>
  <si>
    <t>Iasursti71</t>
  </si>
  <si>
    <t>Mindilsa34</t>
  </si>
  <si>
    <t>The Void, Vengeance of Dark Magic</t>
  </si>
  <si>
    <t>Chamastya76</t>
  </si>
  <si>
    <t>Undirra73</t>
  </si>
  <si>
    <t>Aestysu37</t>
  </si>
  <si>
    <t>Chadadarla74</t>
  </si>
  <si>
    <t>Strithenu87</t>
  </si>
  <si>
    <t>Iasrira89</t>
  </si>
  <si>
    <t>Ialidru40</t>
  </si>
  <si>
    <t>Tyalaesu89</t>
  </si>
  <si>
    <t>Tyidainu31</t>
  </si>
  <si>
    <t>Celeste</t>
  </si>
  <si>
    <t>Lirtilsa72</t>
  </si>
  <si>
    <t>Undjaskla97</t>
  </si>
  <si>
    <t>Ghost Reaver, Longsword of Magic</t>
  </si>
  <si>
    <t>Saedaiphos46</t>
  </si>
  <si>
    <t>Aerithnucal56</t>
  </si>
  <si>
    <t>Lisossa46</t>
  </si>
  <si>
    <t>Layjask75</t>
  </si>
  <si>
    <t>Lisista63</t>
  </si>
  <si>
    <t>Ceoral34</t>
  </si>
  <si>
    <t>Hilaerin92</t>
  </si>
  <si>
    <t>Chadilsasta32</t>
  </si>
  <si>
    <t>Undassa89</t>
  </si>
  <si>
    <t>Iduenu77</t>
  </si>
  <si>
    <t>Lisosia66</t>
  </si>
  <si>
    <t>Undimsya85</t>
  </si>
  <si>
    <t>Celeste, Incarnation of the Corrupted</t>
  </si>
  <si>
    <t>Phaedue89</t>
  </si>
  <si>
    <t>Glinting Glass Edge</t>
  </si>
  <si>
    <t>Yadacal26</t>
  </si>
  <si>
    <t>Lisossa25</t>
  </si>
  <si>
    <t>Ilmol66</t>
  </si>
  <si>
    <t>Yastyriaphos75</t>
  </si>
  <si>
    <t>Hiasurria41</t>
  </si>
  <si>
    <t>Palatyon26</t>
  </si>
  <si>
    <t>The Oculus, Token of Lost Worlds</t>
  </si>
  <si>
    <t>Qilalista41</t>
  </si>
  <si>
    <t>Hada39</t>
  </si>
  <si>
    <t>Massacre</t>
  </si>
  <si>
    <t>Chamilsala65</t>
  </si>
  <si>
    <t>Rairith81</t>
  </si>
  <si>
    <t>Ilarin91</t>
  </si>
  <si>
    <t>Alpha, Oath of Zeal</t>
  </si>
  <si>
    <t>Ryanara76</t>
  </si>
  <si>
    <t>Undista85</t>
  </si>
  <si>
    <t>Tyeoralru41</t>
  </si>
  <si>
    <t>Pheosrinudeu70</t>
  </si>
  <si>
    <t>Heuli25</t>
  </si>
  <si>
    <t>Pheutherin27</t>
  </si>
  <si>
    <t>Chadirra90</t>
  </si>
  <si>
    <t>Ali84</t>
  </si>
  <si>
    <t>Possessed Core</t>
  </si>
  <si>
    <t>Frichjaskan98</t>
  </si>
  <si>
    <t>Malil90</t>
  </si>
  <si>
    <t>Yarithllodeu72</t>
  </si>
  <si>
    <t>Tyaedainu44</t>
  </si>
  <si>
    <t>Foul Edge</t>
  </si>
  <si>
    <t>Trickster</t>
  </si>
  <si>
    <t>Ethron58</t>
  </si>
  <si>
    <t>Eusurdeu49</t>
  </si>
  <si>
    <t>Saistyphos30</t>
  </si>
  <si>
    <t>Fusion Pummel</t>
  </si>
  <si>
    <t>Saisrilis27</t>
  </si>
  <si>
    <t>Hallysucal81</t>
  </si>
  <si>
    <t>Ilimya66</t>
  </si>
  <si>
    <t>Raysistast71</t>
  </si>
  <si>
    <t>Haedairiadru51</t>
  </si>
  <si>
    <t>Tyananurgue44</t>
  </si>
  <si>
    <t>Risty84</t>
  </si>
  <si>
    <t>Aerillorin70</t>
  </si>
  <si>
    <t>Phistyn52</t>
  </si>
  <si>
    <t>Yalo85</t>
  </si>
  <si>
    <t>Chamirrasya33</t>
  </si>
  <si>
    <t>Hiral75</t>
  </si>
  <si>
    <t>Isursti83</t>
  </si>
  <si>
    <t>Bartassaya73</t>
  </si>
  <si>
    <t>Aeda94</t>
  </si>
  <si>
    <t>Quinarap53</t>
  </si>
  <si>
    <t>Asur53</t>
  </si>
  <si>
    <t>Alarap40</t>
  </si>
  <si>
    <t>Sida61</t>
  </si>
  <si>
    <t>Hiarideu73</t>
  </si>
  <si>
    <t>Lassassasda30</t>
  </si>
  <si>
    <t>Ennoncil86</t>
  </si>
  <si>
    <t>Siralsudeu54</t>
  </si>
  <si>
    <t>Eusri26</t>
  </si>
  <si>
    <t>Ardcil81</t>
  </si>
  <si>
    <t>Marilsasya33</t>
  </si>
  <si>
    <t>Lirtim36</t>
  </si>
  <si>
    <t>Heunadil74</t>
  </si>
  <si>
    <t>Frichadar89</t>
  </si>
  <si>
    <t>Aesurstilis64</t>
  </si>
  <si>
    <t>Idaidil28</t>
  </si>
  <si>
    <t>Lisotesta51</t>
  </si>
  <si>
    <t>Lisico81</t>
  </si>
  <si>
    <t>Lisiriya82</t>
  </si>
  <si>
    <t>Stormfury Lantern</t>
  </si>
  <si>
    <t>Siana77</t>
  </si>
  <si>
    <t>Apocalyptic Battlescythe</t>
  </si>
  <si>
    <t>Marokian45</t>
  </si>
  <si>
    <t>Sausosia74</t>
  </si>
  <si>
    <t>Assesi91</t>
  </si>
  <si>
    <t>Unholy Wand</t>
  </si>
  <si>
    <t>Eusri70</t>
  </si>
  <si>
    <t>Aisurria69</t>
  </si>
  <si>
    <t>Iarilis73</t>
  </si>
  <si>
    <t>Raisty38</t>
  </si>
  <si>
    <t>Ilista82</t>
  </si>
  <si>
    <t>Leyirra83</t>
  </si>
  <si>
    <t>Aiduesu86</t>
  </si>
  <si>
    <t>Frichynde86</t>
  </si>
  <si>
    <t>Hisridru55</t>
  </si>
  <si>
    <t>Chamossa77</t>
  </si>
  <si>
    <t>Irillo49</t>
  </si>
  <si>
    <t>Lirtastsya71</t>
  </si>
  <si>
    <t>Frichosiala98</t>
  </si>
  <si>
    <t>Qilunan34</t>
  </si>
  <si>
    <t>Quarrion42</t>
  </si>
  <si>
    <t>Aisurdru79</t>
  </si>
  <si>
    <t>Hiaral50</t>
  </si>
  <si>
    <t>Iarallo65</t>
  </si>
  <si>
    <t>Sondassasya91</t>
  </si>
  <si>
    <t>Chanossast57</t>
  </si>
  <si>
    <t>Chanjask65</t>
  </si>
  <si>
    <t>Ethralista69</t>
  </si>
  <si>
    <t>Sondistanya61</t>
  </si>
  <si>
    <t>Eudanu32</t>
  </si>
  <si>
    <t>Unending Tyranny</t>
  </si>
  <si>
    <t>Euthe35</t>
  </si>
  <si>
    <t>Lassimla92</t>
  </si>
  <si>
    <t>Lisossala30</t>
  </si>
  <si>
    <t>Eulae84</t>
  </si>
  <si>
    <t>Ragnarok</t>
  </si>
  <si>
    <t>Chamadarnya73</t>
  </si>
  <si>
    <t>Eolan54</t>
  </si>
  <si>
    <t>Assistasda90</t>
  </si>
  <si>
    <t>Ennrian78</t>
  </si>
  <si>
    <t>Undirrasta89</t>
  </si>
  <si>
    <t>Rage, Legacy of the Lone Victor</t>
  </si>
  <si>
    <t>Rianistast50</t>
  </si>
  <si>
    <t>Undare39</t>
  </si>
  <si>
    <t>Worldbreaker</t>
  </si>
  <si>
    <t>Adairialis76</t>
  </si>
  <si>
    <t>Aesur96</t>
  </si>
  <si>
    <t>Tyialisudeu65</t>
  </si>
  <si>
    <t>Arirgue63</t>
  </si>
  <si>
    <t>Sundadarla27</t>
  </si>
  <si>
    <t>Eyircil84</t>
  </si>
  <si>
    <t>Ina92</t>
  </si>
  <si>
    <t>Lirtistanya48</t>
  </si>
  <si>
    <t>Marassa62</t>
  </si>
  <si>
    <t>Mindossa76</t>
  </si>
  <si>
    <t>Salilis27</t>
  </si>
  <si>
    <t>Sondossa69</t>
  </si>
  <si>
    <t>Sundjask71</t>
  </si>
  <si>
    <t>Errian63</t>
  </si>
  <si>
    <t>Eurithphos97</t>
  </si>
  <si>
    <t>Raillydeu47</t>
  </si>
  <si>
    <t>Malon70</t>
  </si>
  <si>
    <t>Jiskimsda56</t>
  </si>
  <si>
    <t>Marughi89</t>
  </si>
  <si>
    <t>Ingatcil75</t>
  </si>
  <si>
    <t>Chanirrasta87</t>
  </si>
  <si>
    <t>Alaesu77</t>
  </si>
  <si>
    <t>Ermol76</t>
  </si>
  <si>
    <t>Tyeuduen32</t>
  </si>
  <si>
    <t>Firon67</t>
  </si>
  <si>
    <t>Iadueria43</t>
  </si>
  <si>
    <t>Pheulidil31</t>
  </si>
  <si>
    <t>Eodairu79</t>
  </si>
  <si>
    <t>Frichocesta66</t>
  </si>
  <si>
    <t>Thourdirra92</t>
  </si>
  <si>
    <t>Chanastnya43</t>
  </si>
  <si>
    <t>Iskim96</t>
  </si>
  <si>
    <t>Eulolis41</t>
  </si>
  <si>
    <t>Sastydeu50</t>
  </si>
  <si>
    <t>Ilaesudil92</t>
  </si>
  <si>
    <t>Yasur85</t>
  </si>
  <si>
    <t>Aidain51</t>
  </si>
  <si>
    <t>Aerithnuphos61</t>
  </si>
  <si>
    <t>Yalostiphos68</t>
  </si>
  <si>
    <t>Meosridil82</t>
  </si>
  <si>
    <t>Aillyriadru65</t>
  </si>
  <si>
    <t>Sally64</t>
  </si>
  <si>
    <t>Exiled Mithril Longsword</t>
  </si>
  <si>
    <t>Lisim51</t>
  </si>
  <si>
    <t>Isurria36</t>
  </si>
  <si>
    <t>Silaera56</t>
  </si>
  <si>
    <t>Leetirraya83</t>
  </si>
  <si>
    <t>Lirtirra81</t>
  </si>
  <si>
    <t>Eryon48</t>
  </si>
  <si>
    <t>Iana95</t>
  </si>
  <si>
    <t>Sondassan80</t>
  </si>
  <si>
    <t>Chanadar44</t>
  </si>
  <si>
    <t>Eosurdru76</t>
  </si>
  <si>
    <t>Shidai42</t>
  </si>
  <si>
    <t>Aesri53</t>
  </si>
  <si>
    <t>Syally44</t>
  </si>
  <si>
    <t>Jiskadarst60</t>
  </si>
  <si>
    <t>Sondadar26</t>
  </si>
  <si>
    <t>Malarrian73</t>
  </si>
  <si>
    <t>Maluncil97</t>
  </si>
  <si>
    <t>Ilunyon70</t>
  </si>
  <si>
    <t>Yadam35</t>
  </si>
  <si>
    <t>Dyally87</t>
  </si>
  <si>
    <t>Pheosurllorin41</t>
  </si>
  <si>
    <t>Frichaya88</t>
  </si>
  <si>
    <t>Lassadarsda57</t>
  </si>
  <si>
    <t>Marynde90</t>
  </si>
  <si>
    <t>Isri34</t>
  </si>
  <si>
    <t>Assastnya25</t>
  </si>
  <si>
    <t>Ardonmol96</t>
  </si>
  <si>
    <t>Lassirrasda85</t>
  </si>
  <si>
    <t>Chadossa56</t>
  </si>
  <si>
    <t>Poshilsa82</t>
  </si>
  <si>
    <t>Yoishirrala98</t>
  </si>
  <si>
    <t>Sundista37</t>
  </si>
  <si>
    <t>Ilassa51</t>
  </si>
  <si>
    <t>Filurarn35</t>
  </si>
  <si>
    <t>Phaestycal84</t>
  </si>
  <si>
    <t>Irilis75</t>
  </si>
  <si>
    <t>Aeralstical35</t>
  </si>
  <si>
    <t>Spectral Diamond Doomblade</t>
  </si>
  <si>
    <t>Chanirrala39</t>
  </si>
  <si>
    <t>Chanirra79</t>
  </si>
  <si>
    <t>Assirra56</t>
  </si>
  <si>
    <t>Seolollo93</t>
  </si>
  <si>
    <t>Iathem87</t>
  </si>
  <si>
    <t>Iasurriacal29</t>
  </si>
  <si>
    <t>Lisast98</t>
  </si>
  <si>
    <t>Filrion59</t>
  </si>
  <si>
    <t>Vindictive Glass Edge</t>
  </si>
  <si>
    <t>Halaecal66</t>
  </si>
  <si>
    <t>Iskosian40</t>
  </si>
  <si>
    <t>Ilastilis78</t>
  </si>
  <si>
    <t>Seosrim97</t>
  </si>
  <si>
    <t>Farrian71</t>
  </si>
  <si>
    <t>Rithe53</t>
  </si>
  <si>
    <t>Frichossala54</t>
  </si>
  <si>
    <t>Chamjaskya75</t>
  </si>
  <si>
    <t>Quanrion96</t>
  </si>
  <si>
    <t>Tyaelaelis94</t>
  </si>
  <si>
    <t>Quanenrian83</t>
  </si>
  <si>
    <t>Chanirra64</t>
  </si>
  <si>
    <t>Yadaisuir65</t>
  </si>
  <si>
    <t>Syathecal44</t>
  </si>
  <si>
    <t>Arin32</t>
  </si>
  <si>
    <t>Aelaria33</t>
  </si>
  <si>
    <t>Assassa81</t>
  </si>
  <si>
    <t>Filrion83</t>
  </si>
  <si>
    <t>Eoral49</t>
  </si>
  <si>
    <t>Airi27</t>
  </si>
  <si>
    <t>Eurisuru25</t>
  </si>
  <si>
    <t>Liawista80</t>
  </si>
  <si>
    <t>Lisirra58</t>
  </si>
  <si>
    <t>Chamadarsda63</t>
  </si>
  <si>
    <t>Heartseeker, Reaver of Souls</t>
  </si>
  <si>
    <t>Haestyphos66</t>
  </si>
  <si>
    <t>Phaedasurap84</t>
  </si>
  <si>
    <t>Mindimnya67</t>
  </si>
  <si>
    <t>Chadjask85</t>
  </si>
  <si>
    <t>Eustyria89</t>
  </si>
  <si>
    <t>Iskim66</t>
  </si>
  <si>
    <t>Chamast86</t>
  </si>
  <si>
    <t>Lirtassan78</t>
  </si>
  <si>
    <t>Ethrasyon38</t>
  </si>
  <si>
    <t>Quilassa66</t>
  </si>
  <si>
    <t>Lisassasda39</t>
  </si>
  <si>
    <t>Mindilsa60</t>
  </si>
  <si>
    <t>Lalossa38</t>
  </si>
  <si>
    <t>Chamistast30</t>
  </si>
  <si>
    <t>Alpha, Reach of Ending Hope</t>
  </si>
  <si>
    <t>Hariphos58</t>
  </si>
  <si>
    <t>Assilsan72</t>
  </si>
  <si>
    <t>Inasuir29</t>
  </si>
  <si>
    <t>Chanilsasda38</t>
  </si>
  <si>
    <t>Mindesi74</t>
  </si>
  <si>
    <t>Ililsan66</t>
  </si>
  <si>
    <t>Idacal95</t>
  </si>
  <si>
    <t>Alpha</t>
  </si>
  <si>
    <t>Aeral68</t>
  </si>
  <si>
    <t>Tyarithn67</t>
  </si>
  <si>
    <t>Asty82</t>
  </si>
  <si>
    <t>Yalaeria91</t>
  </si>
  <si>
    <t>Chadjask77</t>
  </si>
  <si>
    <t>Ealiril69</t>
  </si>
  <si>
    <t>Quaecjask96</t>
  </si>
  <si>
    <t>Firatan58</t>
  </si>
  <si>
    <t>Yarolwen77</t>
  </si>
  <si>
    <t>Tyaelistidru84</t>
  </si>
  <si>
    <t>Yarithrin84</t>
  </si>
  <si>
    <t>Tyaelly53</t>
  </si>
  <si>
    <t>Betrayer</t>
  </si>
  <si>
    <t>Phiristi62</t>
  </si>
  <si>
    <t>Ililsasya43</t>
  </si>
  <si>
    <t>Aithelis62</t>
  </si>
  <si>
    <t>Undotesta33</t>
  </si>
  <si>
    <t>Aelidru27</t>
  </si>
  <si>
    <t>Chanossanya44</t>
  </si>
  <si>
    <t>Maradarnya40</t>
  </si>
  <si>
    <t>Lisilsa62</t>
  </si>
  <si>
    <t>Saena89</t>
  </si>
  <si>
    <t>Chanilsast61</t>
  </si>
  <si>
    <t>Winterthorn, Defender of Shifting Worlds</t>
  </si>
  <si>
    <t>Sundassa93</t>
  </si>
  <si>
    <t>Aidai73</t>
  </si>
  <si>
    <t>Indirrian56</t>
  </si>
  <si>
    <t>Lisassasta50</t>
  </si>
  <si>
    <t>Iduelis31</t>
  </si>
  <si>
    <t>Gladiator's Glaive</t>
  </si>
  <si>
    <t>Chanosiaya39</t>
  </si>
  <si>
    <t>Assylla81</t>
  </si>
  <si>
    <t>Aidaira26</t>
  </si>
  <si>
    <t>Eudanu84</t>
  </si>
  <si>
    <t>Chamiman85</t>
  </si>
  <si>
    <t>Tyialisti80</t>
  </si>
  <si>
    <t>Marundi65</t>
  </si>
  <si>
    <t>Eusur90</t>
  </si>
  <si>
    <t>Mindirranya33</t>
  </si>
  <si>
    <t>Phiallylis33</t>
  </si>
  <si>
    <t>Isty55</t>
  </si>
  <si>
    <t>Frichilsa31</t>
  </si>
  <si>
    <t>Chanista95</t>
  </si>
  <si>
    <t>Aellyria80</t>
  </si>
  <si>
    <t>Rastynusuir31</t>
  </si>
  <si>
    <t>Iljask75</t>
  </si>
  <si>
    <t>Lisjaskan36</t>
  </si>
  <si>
    <t>Mindjasksya61</t>
  </si>
  <si>
    <t>Frichirranya75</t>
  </si>
  <si>
    <t>Ilast79</t>
  </si>
  <si>
    <t>Eratiel90</t>
  </si>
  <si>
    <t>Assim27</t>
  </si>
  <si>
    <t>Irith83</t>
  </si>
  <si>
    <t>Ilosian36</t>
  </si>
  <si>
    <t>Iskossasda43</t>
  </si>
  <si>
    <t>Hala31</t>
  </si>
  <si>
    <t>Jiskjask80</t>
  </si>
  <si>
    <t>Aethedru70</t>
  </si>
  <si>
    <t>Yathecal72</t>
  </si>
  <si>
    <t>Sisur91</t>
  </si>
  <si>
    <t>Adastirin33 Total</t>
  </si>
  <si>
    <t>Aerithllora36 Total</t>
  </si>
  <si>
    <t>Aethedru70 Total</t>
  </si>
  <si>
    <t>Aidain51 Total</t>
  </si>
  <si>
    <t>Aiduesu86 Total</t>
  </si>
  <si>
    <t>Aillyrin83 Total</t>
  </si>
  <si>
    <t>Aisurdru79 Total</t>
  </si>
  <si>
    <t>Assilsan72 Total</t>
  </si>
  <si>
    <t>Assosia88 Total</t>
  </si>
  <si>
    <t>Baelollodeu94 Total</t>
  </si>
  <si>
    <t>Chadistaya75 Total</t>
  </si>
  <si>
    <t>Chamast86 Total</t>
  </si>
  <si>
    <t>Chamilsala65 Total</t>
  </si>
  <si>
    <t>Chamirrasya33 Total</t>
  </si>
  <si>
    <t>Chamjask73 Total</t>
  </si>
  <si>
    <t>Chanastsda67 Total</t>
  </si>
  <si>
    <t>Chanirra79 Total</t>
  </si>
  <si>
    <t>Chanjask65 Total</t>
  </si>
  <si>
    <t>Chanossast57 Total</t>
  </si>
  <si>
    <t>Errian63 Total</t>
  </si>
  <si>
    <t>Eudanu32 Total</t>
  </si>
  <si>
    <t>Eudanu84 Total</t>
  </si>
  <si>
    <t>Eusri70 Total</t>
  </si>
  <si>
    <t>Frichaststa61 Total</t>
  </si>
  <si>
    <t>Frichosia58 Total</t>
  </si>
  <si>
    <t>Frichosiala98 Total</t>
  </si>
  <si>
    <t>Haisurra41 Total</t>
  </si>
  <si>
    <t>Hari50 Total</t>
  </si>
  <si>
    <t>Heosurnuru52 Total</t>
  </si>
  <si>
    <t>Heudai45 Total</t>
  </si>
  <si>
    <t>Heuli25 Total</t>
  </si>
  <si>
    <t>Heunadil74 Total</t>
  </si>
  <si>
    <t>Ialallo29 Total</t>
  </si>
  <si>
    <t>Iduenu77 Total</t>
  </si>
  <si>
    <t>Ilmol66 Total</t>
  </si>
  <si>
    <t>Inasuir29 Total</t>
  </si>
  <si>
    <t>Iskichinya81 Total</t>
  </si>
  <si>
    <t>Isurria36 Total</t>
  </si>
  <si>
    <t>Jiskjask60 Total</t>
  </si>
  <si>
    <t>Lassadarsda57 Total</t>
  </si>
  <si>
    <t>Layjask75 Total</t>
  </si>
  <si>
    <t>Leyirra83 Total</t>
  </si>
  <si>
    <t>Lisassa64 Total</t>
  </si>
  <si>
    <t>Lisirra58 Total</t>
  </si>
  <si>
    <t>Lisotesta51 Total</t>
  </si>
  <si>
    <t>Maradaran90 Total</t>
  </si>
  <si>
    <t>Marast30 Total</t>
  </si>
  <si>
    <t>Marilsa69 Total</t>
  </si>
  <si>
    <t>Marim28 Total</t>
  </si>
  <si>
    <t>Mindadaran26 Total</t>
  </si>
  <si>
    <t>Mindilsa34 Total</t>
  </si>
  <si>
    <t>Phaedue89 Total</t>
  </si>
  <si>
    <t>Phaelap26 Total</t>
  </si>
  <si>
    <t>Pheosurllorin41 Total</t>
  </si>
  <si>
    <t>Phyali88 Total</t>
  </si>
  <si>
    <t>Quanrion96 Total</t>
  </si>
  <si>
    <t>Quanunwen42 Total</t>
  </si>
  <si>
    <t>Quilassa66 Total</t>
  </si>
  <si>
    <t>Reulae52 Total</t>
  </si>
  <si>
    <t>Reunasu60 Total</t>
  </si>
  <si>
    <t>Rithe53 Total</t>
  </si>
  <si>
    <t>Sally64 Total</t>
  </si>
  <si>
    <t>Sida61 Total</t>
  </si>
  <si>
    <t>Sondassasya91 Total</t>
  </si>
  <si>
    <t>Sondim68 Total</t>
  </si>
  <si>
    <t>Sondistanya61 Total</t>
  </si>
  <si>
    <t>Sundjask71 Total</t>
  </si>
  <si>
    <t>Syalollorap93 Total</t>
  </si>
  <si>
    <t>Syathe73 Total</t>
  </si>
  <si>
    <t>Taeduenu92 Total</t>
  </si>
  <si>
    <t>Tyaelistidru84 Total</t>
  </si>
  <si>
    <t>Tyaelly53 Total</t>
  </si>
  <si>
    <t>Tyaenasti87 Total</t>
  </si>
  <si>
    <t>Tyidaim51 Total</t>
  </si>
  <si>
    <t>Tyidainu31 Total</t>
  </si>
  <si>
    <t>Umolrian85 Total</t>
  </si>
  <si>
    <t>Wailin72 Total</t>
  </si>
  <si>
    <t>Yana46 Total</t>
  </si>
  <si>
    <t>Yarithrin84 Total</t>
  </si>
  <si>
    <t>Yathecal82 Total</t>
  </si>
  <si>
    <t>Yoishirrala98 Total</t>
  </si>
  <si>
    <t>Adairialis76 Total</t>
  </si>
  <si>
    <t>Aeda94 Total</t>
  </si>
  <si>
    <t>Aela59 Total</t>
  </si>
  <si>
    <t>Aelaria33 Total</t>
  </si>
  <si>
    <t>Aelastirin39 Total</t>
  </si>
  <si>
    <t>Aelidru27 Total</t>
  </si>
  <si>
    <t>Aelin32 Total</t>
  </si>
  <si>
    <t>Aelly27 Total</t>
  </si>
  <si>
    <t>Aellynun67 Total</t>
  </si>
  <si>
    <t>Aellyria80 Total</t>
  </si>
  <si>
    <t>Aelollo59 Total</t>
  </si>
  <si>
    <t>Aenarap34 Total</t>
  </si>
  <si>
    <t>Aeral43 Total</t>
  </si>
  <si>
    <t>Aeral68 Total</t>
  </si>
  <si>
    <t>Aeral97 Total</t>
  </si>
  <si>
    <t>Aeralria27 Total</t>
  </si>
  <si>
    <t>Aeralstical35 Total</t>
  </si>
  <si>
    <t>Aeri84 Total</t>
  </si>
  <si>
    <t>Aerillorin70 Total</t>
  </si>
  <si>
    <t>Aerithnucal56 Total</t>
  </si>
  <si>
    <t>Aerithnuphos61 Total</t>
  </si>
  <si>
    <t>Aerithriaphos45 Total</t>
  </si>
  <si>
    <t>Aerithriaphos46 Total</t>
  </si>
  <si>
    <t>Aesri53 Total</t>
  </si>
  <si>
    <t>Aesty53 Total</t>
  </si>
  <si>
    <t>Aestysu37 Total</t>
  </si>
  <si>
    <t>Aesur96 Total</t>
  </si>
  <si>
    <t>Aesurstilis64 Total</t>
  </si>
  <si>
    <t>Aidai53 Total</t>
  </si>
  <si>
    <t>Aidai61 Total</t>
  </si>
  <si>
    <t>Aidai73 Total</t>
  </si>
  <si>
    <t>Aidaillodeu39 Total</t>
  </si>
  <si>
    <t>Aidaira26 Total</t>
  </si>
  <si>
    <t>Aiduecal76 Total</t>
  </si>
  <si>
    <t>Aillyriadru65 Total</t>
  </si>
  <si>
    <t>Aina42 Total</t>
  </si>
  <si>
    <t>Aina43 Total</t>
  </si>
  <si>
    <t>Aisur51 Total</t>
  </si>
  <si>
    <t>Aisurria69 Total</t>
  </si>
  <si>
    <t>Aithelis62 Total</t>
  </si>
  <si>
    <t>Alaephos75 Total</t>
  </si>
  <si>
    <t>Alaesu77 Total</t>
  </si>
  <si>
    <t>Alaesu91 Total</t>
  </si>
  <si>
    <t>Alarap40 Total</t>
  </si>
  <si>
    <t>Ali84 Total</t>
  </si>
  <si>
    <t>Alim85 Total</t>
  </si>
  <si>
    <t>Alo38 Total</t>
  </si>
  <si>
    <t>Anallorgue57 Total</t>
  </si>
  <si>
    <t>Ardcil81 Total</t>
  </si>
  <si>
    <t>Ardonmol96 Total</t>
  </si>
  <si>
    <t>Arin32 Total</t>
  </si>
  <si>
    <t>Arirgue63 Total</t>
  </si>
  <si>
    <t>Assassa81 Total</t>
  </si>
  <si>
    <t>Assassasta79 Total</t>
  </si>
  <si>
    <t>Assastnya25 Total</t>
  </si>
  <si>
    <t>Assehoan67 Total</t>
  </si>
  <si>
    <t>Assesi91 Total</t>
  </si>
  <si>
    <t>Assim27 Total</t>
  </si>
  <si>
    <t>Assirra56 Total</t>
  </si>
  <si>
    <t>Assistasda42 Total</t>
  </si>
  <si>
    <t>Assistasda90 Total</t>
  </si>
  <si>
    <t>Assjaskan56 Total</t>
  </si>
  <si>
    <t>Assjaskan73 Total</t>
  </si>
  <si>
    <t>Assylla81 Total</t>
  </si>
  <si>
    <t>Asty82 Total</t>
  </si>
  <si>
    <t>Asur53 Total</t>
  </si>
  <si>
    <t>Asur96 Total</t>
  </si>
  <si>
    <t>Bartassaya73 Total</t>
  </si>
  <si>
    <t>Caesrinusuir82 Total</t>
  </si>
  <si>
    <t>Ceoral34 Total</t>
  </si>
  <si>
    <t>Chadadarla74 Total</t>
  </si>
  <si>
    <t>Chadilsasta32 Total</t>
  </si>
  <si>
    <t>Chadirra90 Total</t>
  </si>
  <si>
    <t>Chadista79 Total</t>
  </si>
  <si>
    <t>Chadjask77 Total</t>
  </si>
  <si>
    <t>Chadjask85 Total</t>
  </si>
  <si>
    <t>Chadolyla44 Total</t>
  </si>
  <si>
    <t>Chadossa56 Total</t>
  </si>
  <si>
    <t>Chadossa89 Total</t>
  </si>
  <si>
    <t>Chamadar79 Total</t>
  </si>
  <si>
    <t>Chamadarnya73 Total</t>
  </si>
  <si>
    <t>Chamadarsda63 Total</t>
  </si>
  <si>
    <t>Chamalo71 Total</t>
  </si>
  <si>
    <t>Chamassasya86 Total</t>
  </si>
  <si>
    <t>Chamastya76 Total</t>
  </si>
  <si>
    <t>Chamiman85 Total</t>
  </si>
  <si>
    <t>Chamimla73 Total</t>
  </si>
  <si>
    <t>Chamimla85 Total</t>
  </si>
  <si>
    <t>Chamirra53 Total</t>
  </si>
  <si>
    <t>Chamirraya83 Total</t>
  </si>
  <si>
    <t>Chamistast30 Total</t>
  </si>
  <si>
    <t>Chamjaskya75 Total</t>
  </si>
  <si>
    <t>Chamossa77 Total</t>
  </si>
  <si>
    <t>Chanadar44 Total</t>
  </si>
  <si>
    <t>Chanastnya43 Total</t>
  </si>
  <si>
    <t>Chanastst38 Total</t>
  </si>
  <si>
    <t>Chanastya70 Total</t>
  </si>
  <si>
    <t>Chanilsasda38 Total</t>
  </si>
  <si>
    <t>Chanilsast61 Total</t>
  </si>
  <si>
    <t>Chanirra64 Total</t>
  </si>
  <si>
    <t>Chanirrala39 Total</t>
  </si>
  <si>
    <t>Chanirrasta87 Total</t>
  </si>
  <si>
    <t>Chanista95 Total</t>
  </si>
  <si>
    <t>Chanjaskan89 Total</t>
  </si>
  <si>
    <t>Chanosia34 Total</t>
  </si>
  <si>
    <t>Chanosia60 Total</t>
  </si>
  <si>
    <t>Chanosiaya39 Total</t>
  </si>
  <si>
    <t>Chanossanya44 Total</t>
  </si>
  <si>
    <t>Chanuchi25 Total</t>
  </si>
  <si>
    <t>Cosadar58 Total</t>
  </si>
  <si>
    <t>Dyally87 Total</t>
  </si>
  <si>
    <t>Ealiril69 Total</t>
  </si>
  <si>
    <t>Ealrion88 Total</t>
  </si>
  <si>
    <t>Ennalmol65 Total</t>
  </si>
  <si>
    <t>Ennoncil86 Total</t>
  </si>
  <si>
    <t>Ennrian78 Total</t>
  </si>
  <si>
    <t>Eodailis27 Total</t>
  </si>
  <si>
    <t>Eodairu79 Total</t>
  </si>
  <si>
    <t>Eolan54 Total</t>
  </si>
  <si>
    <t>Eoral49 Total</t>
  </si>
  <si>
    <t>Eoralrap26 Total</t>
  </si>
  <si>
    <t>Eosrirgue62 Total</t>
  </si>
  <si>
    <t>Eosurdru76 Total</t>
  </si>
  <si>
    <t>Eratiel90 Total</t>
  </si>
  <si>
    <t>Ermol76 Total</t>
  </si>
  <si>
    <t>Eryon48 Total</t>
  </si>
  <si>
    <t>Ethralista69 Total</t>
  </si>
  <si>
    <t>Ethrasyon38 Total</t>
  </si>
  <si>
    <t>Ethriel85 Total</t>
  </si>
  <si>
    <t>Ethron58 Total</t>
  </si>
  <si>
    <t>Eulae84 Total</t>
  </si>
  <si>
    <t>Eulaestira36 Total</t>
  </si>
  <si>
    <t>Eulanurin88 Total</t>
  </si>
  <si>
    <t>Eulasuir89 Total</t>
  </si>
  <si>
    <t>Eulolis41 Total</t>
  </si>
  <si>
    <t>Eurisuru25 Total</t>
  </si>
  <si>
    <t>Eurithphos97 Total</t>
  </si>
  <si>
    <t>Eusri26 Total</t>
  </si>
  <si>
    <t>Eusri44 Total</t>
  </si>
  <si>
    <t>Eustyria89 Total</t>
  </si>
  <si>
    <t>Eusur90 Total</t>
  </si>
  <si>
    <t>Eusurdeu49 Total</t>
  </si>
  <si>
    <t>Euthe35 Total</t>
  </si>
  <si>
    <t>Eyircil84 Total</t>
  </si>
  <si>
    <t>Eyista89 Total</t>
  </si>
  <si>
    <t>Eyrian71 Total</t>
  </si>
  <si>
    <t>Farrian71 Total</t>
  </si>
  <si>
    <t>Farusrian86 Total</t>
  </si>
  <si>
    <t>Filrion59 Total</t>
  </si>
  <si>
    <t>Filrion83 Total</t>
  </si>
  <si>
    <t>Filurarn35 Total</t>
  </si>
  <si>
    <t>Firan91 Total</t>
  </si>
  <si>
    <t>Firatan58 Total</t>
  </si>
  <si>
    <t>Firon67 Total</t>
  </si>
  <si>
    <t>Fironon91 Total</t>
  </si>
  <si>
    <t>Frichadar89 Total</t>
  </si>
  <si>
    <t>Frichadaran88 Total</t>
  </si>
  <si>
    <t>Frichast28 Total</t>
  </si>
  <si>
    <t>Frichaya88 Total</t>
  </si>
  <si>
    <t>Frichilsa31 Total</t>
  </si>
  <si>
    <t>Frichim77 Total</t>
  </si>
  <si>
    <t>Frichirranya75 Total</t>
  </si>
  <si>
    <t>Frichjask31 Total</t>
  </si>
  <si>
    <t>Frichjaskan98 Total</t>
  </si>
  <si>
    <t>Frichocesta66 Total</t>
  </si>
  <si>
    <t>Frichossala54 Total</t>
  </si>
  <si>
    <t>Frichynde86 Total</t>
  </si>
  <si>
    <t>Hada39 Total</t>
  </si>
  <si>
    <t>Haedairiadru51 Total</t>
  </si>
  <si>
    <t>Haeladil46 Total</t>
  </si>
  <si>
    <t>Haellysu29 Total</t>
  </si>
  <si>
    <t>Haerith37 Total</t>
  </si>
  <si>
    <t>Haestyphos66 Total</t>
  </si>
  <si>
    <t>Hailaphos89 Total</t>
  </si>
  <si>
    <t>Haillyrgue51 Total</t>
  </si>
  <si>
    <t>Haisrisuir60 Total</t>
  </si>
  <si>
    <t>Hala31 Total</t>
  </si>
  <si>
    <t>Halaecal66 Total</t>
  </si>
  <si>
    <t>Hallysucal81 Total</t>
  </si>
  <si>
    <t>Hariphos58 Total</t>
  </si>
  <si>
    <t>Heollyra92 Total</t>
  </si>
  <si>
    <t>Heollyriap59 Total</t>
  </si>
  <si>
    <t>Hiaral50 Total</t>
  </si>
  <si>
    <t>Hiarideu73 Total</t>
  </si>
  <si>
    <t>Hiasri33 Total</t>
  </si>
  <si>
    <t>Hiasurria41 Total</t>
  </si>
  <si>
    <t>Hilaerin92 Total</t>
  </si>
  <si>
    <t>Hiral75 Total</t>
  </si>
  <si>
    <t>Hirirap39 Total</t>
  </si>
  <si>
    <t>Hisridru55 Total</t>
  </si>
  <si>
    <t>Hyaduesu61 Total</t>
  </si>
  <si>
    <t>Iadueria43 Total</t>
  </si>
  <si>
    <t>Ialidru40 Total</t>
  </si>
  <si>
    <t>Iana95 Total</t>
  </si>
  <si>
    <t>Iarallo65 Total</t>
  </si>
  <si>
    <t>Iaralrgue74 Total</t>
  </si>
  <si>
    <t>Iaralsuir44 Total</t>
  </si>
  <si>
    <t>Iarilis73 Total</t>
  </si>
  <si>
    <t>Iasrira89 Total</t>
  </si>
  <si>
    <t>Iasur80 Total</t>
  </si>
  <si>
    <t>Iasurriacal29 Total</t>
  </si>
  <si>
    <t>Iasursti71 Total</t>
  </si>
  <si>
    <t>Iathem87 Total</t>
  </si>
  <si>
    <t>Iathenudil29 Total</t>
  </si>
  <si>
    <t>Idacal95 Total</t>
  </si>
  <si>
    <t>Idai61 Total</t>
  </si>
  <si>
    <t>Idaidil28 Total</t>
  </si>
  <si>
    <t>Idaisuir85 Total</t>
  </si>
  <si>
    <t>Idastidru52 Total</t>
  </si>
  <si>
    <t>Iduelis31 Total</t>
  </si>
  <si>
    <t>Ilaesudil92 Total</t>
  </si>
  <si>
    <t>Ilarin91 Total</t>
  </si>
  <si>
    <t>Ilassa51 Total</t>
  </si>
  <si>
    <t>Ilassast39 Total</t>
  </si>
  <si>
    <t>Ilast79 Total</t>
  </si>
  <si>
    <t>Ilastilis78 Total</t>
  </si>
  <si>
    <t>Ili43 Total</t>
  </si>
  <si>
    <t>Ililsan66 Total</t>
  </si>
  <si>
    <t>Ililsasya43 Total</t>
  </si>
  <si>
    <t>Ilimya66 Total</t>
  </si>
  <si>
    <t>Ilirrasda54 Total</t>
  </si>
  <si>
    <t>Ilista82 Total</t>
  </si>
  <si>
    <t>Iljask75 Total</t>
  </si>
  <si>
    <t>Ilosia37 Total</t>
  </si>
  <si>
    <t>Ilosian36 Total</t>
  </si>
  <si>
    <t>Ilosianya35 Total</t>
  </si>
  <si>
    <t>Ilunyon70 Total</t>
  </si>
  <si>
    <t>Ina92 Total</t>
  </si>
  <si>
    <t>Inasti31 Total</t>
  </si>
  <si>
    <t>Indcil77 Total</t>
  </si>
  <si>
    <t>Indirrian56 Total</t>
  </si>
  <si>
    <t>Indonmol95 Total</t>
  </si>
  <si>
    <t>Ingatcil75 Total</t>
  </si>
  <si>
    <t>Inguron55 Total</t>
  </si>
  <si>
    <t>Iral74 Total</t>
  </si>
  <si>
    <t>Iri67 Total</t>
  </si>
  <si>
    <t>Irilis75 Total</t>
  </si>
  <si>
    <t>Irillo49 Total</t>
  </si>
  <si>
    <t>Irith83 Total</t>
  </si>
  <si>
    <t>Irithlis29 Total</t>
  </si>
  <si>
    <t>Iskadarya95 Total</t>
  </si>
  <si>
    <t>Iskim66 Total</t>
  </si>
  <si>
    <t>Iskim96 Total</t>
  </si>
  <si>
    <t>Iskirra45 Total</t>
  </si>
  <si>
    <t>Iskjaskst81 Total</t>
  </si>
  <si>
    <t>Iskosia90 Total</t>
  </si>
  <si>
    <t>Iskosian40 Total</t>
  </si>
  <si>
    <t>Iskossasda43 Total</t>
  </si>
  <si>
    <t>Isri34 Total</t>
  </si>
  <si>
    <t>Isty55 Total</t>
  </si>
  <si>
    <t>Isursti83 Total</t>
  </si>
  <si>
    <t>Isursuir31 Total</t>
  </si>
  <si>
    <t>Ithergue48 Total</t>
  </si>
  <si>
    <t>Itheria73 Total</t>
  </si>
  <si>
    <t>Jeyciman68 Total</t>
  </si>
  <si>
    <t>Jiskadarst60 Total</t>
  </si>
  <si>
    <t>Jiskassa76 Total</t>
  </si>
  <si>
    <t>Jiskimsda56 Total</t>
  </si>
  <si>
    <t>Jiskimya77 Total</t>
  </si>
  <si>
    <t>Jiskjask80 Total</t>
  </si>
  <si>
    <t>Jiskjask85 Total</t>
  </si>
  <si>
    <t>Jiskossa61 Total</t>
  </si>
  <si>
    <t>Laedallo55 Total</t>
  </si>
  <si>
    <t>Lalossa38 Total</t>
  </si>
  <si>
    <t>Lamil79 Total</t>
  </si>
  <si>
    <t>Lassassasda30 Total</t>
  </si>
  <si>
    <t>Lassassast73 Total</t>
  </si>
  <si>
    <t>Lassilsala30 Total</t>
  </si>
  <si>
    <t>Lassimla92 Total</t>
  </si>
  <si>
    <t>Lassirrasda85 Total</t>
  </si>
  <si>
    <t>Lassjask63 Total</t>
  </si>
  <si>
    <t>Lassjaskan73 Total</t>
  </si>
  <si>
    <t>Leetirraya83 Total</t>
  </si>
  <si>
    <t>Liawista80 Total</t>
  </si>
  <si>
    <t>Lirtassa52 Total</t>
  </si>
  <si>
    <t>Lirtassan78 Total</t>
  </si>
  <si>
    <t>Lirtastan49 Total</t>
  </si>
  <si>
    <t>Lirtastsda29 Total</t>
  </si>
  <si>
    <t>Lirtastsya71 Total</t>
  </si>
  <si>
    <t>Lirtilsa71 Total</t>
  </si>
  <si>
    <t>Lirtilsa72 Total</t>
  </si>
  <si>
    <t>Lirtimst73 Total</t>
  </si>
  <si>
    <t>Lirtirra37 Total</t>
  </si>
  <si>
    <t>Lirtirra81 Total</t>
  </si>
  <si>
    <t>Lirtistanya48 Total</t>
  </si>
  <si>
    <t>Lirtosia63 Total</t>
  </si>
  <si>
    <t>Lirtossa60 Total</t>
  </si>
  <si>
    <t>Lirtossa84 Total</t>
  </si>
  <si>
    <t>Lisadar44 Total</t>
  </si>
  <si>
    <t>Lisasi93 Total</t>
  </si>
  <si>
    <t>Lisassala98 Total</t>
  </si>
  <si>
    <t>Lisassasda39 Total</t>
  </si>
  <si>
    <t>Lisassasta50 Total</t>
  </si>
  <si>
    <t>Lisast87 Total</t>
  </si>
  <si>
    <t>Lisast98 Total</t>
  </si>
  <si>
    <t>Lisico81 Total</t>
  </si>
  <si>
    <t>Lisilsa62 Total</t>
  </si>
  <si>
    <t>Lisim51 Total</t>
  </si>
  <si>
    <t>Lisim78 Total</t>
  </si>
  <si>
    <t>Lisiriya82 Total</t>
  </si>
  <si>
    <t>Lisirra25 Total</t>
  </si>
  <si>
    <t>Lisirra87 Total</t>
  </si>
  <si>
    <t>Lisista27 Total</t>
  </si>
  <si>
    <t>Lisista54 Total</t>
  </si>
  <si>
    <t>Lisista63 Total</t>
  </si>
  <si>
    <t>Lisjaskan36 Total</t>
  </si>
  <si>
    <t>Lisjaskya84 Total</t>
  </si>
  <si>
    <t>Lisopela58 Total</t>
  </si>
  <si>
    <t>Lisosia66 Total</t>
  </si>
  <si>
    <t>Lisosia93 Total</t>
  </si>
  <si>
    <t>Lisossa25 Total</t>
  </si>
  <si>
    <t>Lisossa46 Total</t>
  </si>
  <si>
    <t>Lisossala30 Total</t>
  </si>
  <si>
    <t>Lisossanya98 Total</t>
  </si>
  <si>
    <t>Lisovynya38 Total</t>
  </si>
  <si>
    <t>Malarrian73 Total</t>
  </si>
  <si>
    <t>Malil90 Total</t>
  </si>
  <si>
    <t>Malon70 Total</t>
  </si>
  <si>
    <t>Malunil62 Total</t>
  </si>
  <si>
    <t>Maradarnya40 Total</t>
  </si>
  <si>
    <t>Marassa62 Total</t>
  </si>
  <si>
    <t>Maridisya31 Total</t>
  </si>
  <si>
    <t>Marilsanya48 Total</t>
  </si>
  <si>
    <t>Marilsasya33 Total</t>
  </si>
  <si>
    <t>Marirrasta50 Total</t>
  </si>
  <si>
    <t>Marjask87 Total</t>
  </si>
  <si>
    <t>Marokian45 Total</t>
  </si>
  <si>
    <t>Maropast28 Total</t>
  </si>
  <si>
    <t>Marughi89 Total</t>
  </si>
  <si>
    <t>Marundi65 Total</t>
  </si>
  <si>
    <t>Marynde90 Total</t>
  </si>
  <si>
    <t>Meosridil82 Total</t>
  </si>
  <si>
    <t>Mindesi74 Total</t>
  </si>
  <si>
    <t>Mindetosya30 Total</t>
  </si>
  <si>
    <t>Mindilsa60 Total</t>
  </si>
  <si>
    <t>Mindimnya67 Total</t>
  </si>
  <si>
    <t>Mindirranya33 Total</t>
  </si>
  <si>
    <t>Mindista32 Total</t>
  </si>
  <si>
    <t>Mindjasksya61 Total</t>
  </si>
  <si>
    <t>Mindossa76 Total</t>
  </si>
  <si>
    <t>Minduli80 Total</t>
  </si>
  <si>
    <t>Minduri31 Total</t>
  </si>
  <si>
    <t>Nitherian58 Total</t>
  </si>
  <si>
    <t>Palatyon26 Total</t>
  </si>
  <si>
    <t>Palyon91 Total</t>
  </si>
  <si>
    <t>Peorith44 Total</t>
  </si>
  <si>
    <t>Phaedasurap84 Total</t>
  </si>
  <si>
    <t>Phaena87 Total</t>
  </si>
  <si>
    <t>Phaestycal84 Total</t>
  </si>
  <si>
    <t>Pheodai94 Total</t>
  </si>
  <si>
    <t>Pheodaisun84 Total</t>
  </si>
  <si>
    <t>Pheosrinudeu70 Total</t>
  </si>
  <si>
    <t>Pheulidil31 Total</t>
  </si>
  <si>
    <t>Pheusrical25 Total</t>
  </si>
  <si>
    <t>Pheutherin27 Total</t>
  </si>
  <si>
    <t>Phiallylis33 Total</t>
  </si>
  <si>
    <t>Phiarithdeu40 Total</t>
  </si>
  <si>
    <t>Philodil43 Total</t>
  </si>
  <si>
    <t>Phiristi62 Total</t>
  </si>
  <si>
    <t>Phistym51 Total</t>
  </si>
  <si>
    <t>Phistyn52 Total</t>
  </si>
  <si>
    <t>Poshilsa82 Total</t>
  </si>
  <si>
    <t>Qarirwen82 Total</t>
  </si>
  <si>
    <t>Qilalista41 Total</t>
  </si>
  <si>
    <t>Qilanrion65 Total</t>
  </si>
  <si>
    <t>Qilatista90 Total</t>
  </si>
  <si>
    <t>Qilunan34 Total</t>
  </si>
  <si>
    <t>Quaecjask96 Total</t>
  </si>
  <si>
    <t>Quanenrian83 Total</t>
  </si>
  <si>
    <t>Quaranmol58 Total</t>
  </si>
  <si>
    <t>Quarrion42 Total</t>
  </si>
  <si>
    <t>Quinarap53 Total</t>
  </si>
  <si>
    <t>Raesty92 Total</t>
  </si>
  <si>
    <t>Raillydeu47 Total</t>
  </si>
  <si>
    <t>Rairin89 Total</t>
  </si>
  <si>
    <t>Raisty38 Total</t>
  </si>
  <si>
    <t>Rarallo90 Total</t>
  </si>
  <si>
    <t>Rastynusuir31 Total</t>
  </si>
  <si>
    <t>Raysistast71 Total</t>
  </si>
  <si>
    <t>Rianistast50 Total</t>
  </si>
  <si>
    <t>Rilaera56 Total</t>
  </si>
  <si>
    <t>Ririp86 Total</t>
  </si>
  <si>
    <t>Risty84 Total</t>
  </si>
  <si>
    <t>Ristydru66 Total</t>
  </si>
  <si>
    <t>Ryanara76 Total</t>
  </si>
  <si>
    <t>Saedaiphos46 Total</t>
  </si>
  <si>
    <t>Saelaephos52 Total</t>
  </si>
  <si>
    <t>Saena74 Total</t>
  </si>
  <si>
    <t>Saena89 Total</t>
  </si>
  <si>
    <t>Saerallora71 Total</t>
  </si>
  <si>
    <t>Saesrideu94 Total</t>
  </si>
  <si>
    <t>Saida58 Total</t>
  </si>
  <si>
    <t>Saisrilis27 Total</t>
  </si>
  <si>
    <t>Saistyphos30 Total</t>
  </si>
  <si>
    <t>Salilis27 Total</t>
  </si>
  <si>
    <t>Sastydeu50 Total</t>
  </si>
  <si>
    <t>Sausosia74 Total</t>
  </si>
  <si>
    <t>Seolollo93 Total</t>
  </si>
  <si>
    <t>Seosrim97 Total</t>
  </si>
  <si>
    <t>Seudaillorap38 Total</t>
  </si>
  <si>
    <t>Seuthep89 Total</t>
  </si>
  <si>
    <t>Shaidanu32 Total</t>
  </si>
  <si>
    <t>Shidai42 Total</t>
  </si>
  <si>
    <t>Siala43 Total</t>
  </si>
  <si>
    <t>Siallylis44 Total</t>
  </si>
  <si>
    <t>Siana77 Total</t>
  </si>
  <si>
    <t>Sidap51 Total</t>
  </si>
  <si>
    <t>Silaera56 Total</t>
  </si>
  <si>
    <t>Siralsudeu54 Total</t>
  </si>
  <si>
    <t>Sisur91 Total</t>
  </si>
  <si>
    <t>Smaistysu35 Total</t>
  </si>
  <si>
    <t>Sondadar26 Total</t>
  </si>
  <si>
    <t>Sondadarya58 Total</t>
  </si>
  <si>
    <t>Sondassan80 Total</t>
  </si>
  <si>
    <t>Sondastsda82 Total</t>
  </si>
  <si>
    <t>Sondilsaya62 Total</t>
  </si>
  <si>
    <t>Sondim73 Total</t>
  </si>
  <si>
    <t>Sondimla25 Total</t>
  </si>
  <si>
    <t>Sondossa69 Total</t>
  </si>
  <si>
    <t>Strithenu87 Total</t>
  </si>
  <si>
    <t>Styaduen40 Total</t>
  </si>
  <si>
    <t>Sundadar27 Total</t>
  </si>
  <si>
    <t>Sundadarla27 Total</t>
  </si>
  <si>
    <t>Sundassa93 Total</t>
  </si>
  <si>
    <t>Sundirrala66 Total</t>
  </si>
  <si>
    <t>Sundista37 Total</t>
  </si>
  <si>
    <t>Syally44 Total</t>
  </si>
  <si>
    <t>Syathecal44 Total</t>
  </si>
  <si>
    <t>Thourdirra92 Total</t>
  </si>
  <si>
    <t>Thrientossa55 Total</t>
  </si>
  <si>
    <t>Thryallym62 Total</t>
  </si>
  <si>
    <t>Tyaedainu44 Total</t>
  </si>
  <si>
    <t>Tyaelaelis94 Total</t>
  </si>
  <si>
    <t>Tyaelo67 Total</t>
  </si>
  <si>
    <t>Tyaelorap29 Total</t>
  </si>
  <si>
    <t>Tyaerith73 Total</t>
  </si>
  <si>
    <t>Tyalaesu89 Total</t>
  </si>
  <si>
    <t>Tyananurgue44 Total</t>
  </si>
  <si>
    <t>Tyarithn67 Total</t>
  </si>
  <si>
    <t>Tyeoralru41 Total</t>
  </si>
  <si>
    <t>Tyeosri53 Total</t>
  </si>
  <si>
    <t>Tyeudariasuir90 Total</t>
  </si>
  <si>
    <t>Tyeuduen32 Total</t>
  </si>
  <si>
    <t>Tyeurith29 Total</t>
  </si>
  <si>
    <t>Tyialisti80 Total</t>
  </si>
  <si>
    <t>Tyialisudeu65 Total</t>
  </si>
  <si>
    <t>Tyida79 Total</t>
  </si>
  <si>
    <t>Tyirinu79 Total</t>
  </si>
  <si>
    <t>Tyisur83 Total</t>
  </si>
  <si>
    <t>Undare39 Total</t>
  </si>
  <si>
    <t>Undassa89 Total</t>
  </si>
  <si>
    <t>Undilsan50 Total</t>
  </si>
  <si>
    <t>Undimsya85 Total</t>
  </si>
  <si>
    <t>Undirra73 Total</t>
  </si>
  <si>
    <t>Undirrala66 Total</t>
  </si>
  <si>
    <t>Undirrasta89 Total</t>
  </si>
  <si>
    <t>Undista85 Total</t>
  </si>
  <si>
    <t>Undjask33 Total</t>
  </si>
  <si>
    <t>Undjaskla97 Total</t>
  </si>
  <si>
    <t>Undosia27 Total</t>
  </si>
  <si>
    <t>Undosian34 Total</t>
  </si>
  <si>
    <t>Undotesta33 Total</t>
  </si>
  <si>
    <t>Yadacal26 Total</t>
  </si>
  <si>
    <t>Yadaisuir65 Total</t>
  </si>
  <si>
    <t>Yadam35 Total</t>
  </si>
  <si>
    <t>Yadanu52 Total</t>
  </si>
  <si>
    <t>Yadaphos40 Total</t>
  </si>
  <si>
    <t>Yalae81 Total</t>
  </si>
  <si>
    <t>Yalaeria91 Total</t>
  </si>
  <si>
    <t>Yaliru88 Total</t>
  </si>
  <si>
    <t>Yalo85 Total</t>
  </si>
  <si>
    <t>Yalostiphos68 Total</t>
  </si>
  <si>
    <t>Yarithllodeu72 Total</t>
  </si>
  <si>
    <t>Yarithrgue83 Total</t>
  </si>
  <si>
    <t>Yarithsurgue62 Total</t>
  </si>
  <si>
    <t>Yarolwen77 Total</t>
  </si>
  <si>
    <t>Yasrisu92 Total</t>
  </si>
  <si>
    <t>Yastyriaphos75 Total</t>
  </si>
  <si>
    <t>Yasur35 Total</t>
  </si>
  <si>
    <t>Yasur85 Total</t>
  </si>
  <si>
    <t>Yathecal72 Total</t>
  </si>
  <si>
    <t>Yathedeu43 Total</t>
  </si>
  <si>
    <t>Zhisrisu83 Total</t>
  </si>
  <si>
    <t>Zontibe81 Total</t>
  </si>
  <si>
    <t>Airi27 Total</t>
  </si>
  <si>
    <t>Chanosian48 Total</t>
  </si>
  <si>
    <t>Eodaisu60 Total</t>
  </si>
  <si>
    <t>Haerithp41 Total</t>
  </si>
  <si>
    <t>Idairin51 Total</t>
  </si>
  <si>
    <t>Jiskirran77 Total</t>
  </si>
  <si>
    <t>Lirtim36 Total</t>
  </si>
  <si>
    <t>Maluncil97 Total</t>
  </si>
  <si>
    <t>Rairith81 Total</t>
  </si>
  <si>
    <t>Siarithria38 Total</t>
  </si>
  <si>
    <t>Sundim98 Total</t>
  </si>
  <si>
    <t>Grand Total</t>
  </si>
  <si>
    <t>female average</t>
  </si>
  <si>
    <t>male average</t>
  </si>
  <si>
    <t>other average</t>
  </si>
  <si>
    <t>...</t>
  </si>
  <si>
    <t>avg_person.groupby(['Gender','SN'])['Price'].mean()</t>
  </si>
  <si>
    <t>avg_person.groupby(['Gender','SN'])['Price'].sum()</t>
  </si>
  <si>
    <t>Grand Count</t>
  </si>
  <si>
    <t>0 Count</t>
  </si>
  <si>
    <t>1 Count</t>
  </si>
  <si>
    <t>2 Count</t>
  </si>
  <si>
    <t>3 Count</t>
  </si>
  <si>
    <t>4 Count</t>
  </si>
  <si>
    <t>5 Count</t>
  </si>
  <si>
    <t>6 Count</t>
  </si>
  <si>
    <t>7 Count</t>
  </si>
  <si>
    <t>8 Count</t>
  </si>
  <si>
    <t>9 Count</t>
  </si>
  <si>
    <t>10 Count</t>
  </si>
  <si>
    <t>11 Count</t>
  </si>
  <si>
    <t>12 Count</t>
  </si>
  <si>
    <t>13 Count</t>
  </si>
  <si>
    <t>14 Count</t>
  </si>
  <si>
    <t>15 Count</t>
  </si>
  <si>
    <t>16 Count</t>
  </si>
  <si>
    <t>17 Count</t>
  </si>
  <si>
    <t>18 Count</t>
  </si>
  <si>
    <t>19 Count</t>
  </si>
  <si>
    <t>20 Count</t>
  </si>
  <si>
    <t>21 Count</t>
  </si>
  <si>
    <t>22 Count</t>
  </si>
  <si>
    <t>23 Count</t>
  </si>
  <si>
    <t>24 Count</t>
  </si>
  <si>
    <t>25 Count</t>
  </si>
  <si>
    <t>26 Count</t>
  </si>
  <si>
    <t>27 Count</t>
  </si>
  <si>
    <t>28 Count</t>
  </si>
  <si>
    <t>29 Count</t>
  </si>
  <si>
    <t>30 Count</t>
  </si>
  <si>
    <t>31 Count</t>
  </si>
  <si>
    <t>32 Count</t>
  </si>
  <si>
    <t>33 Count</t>
  </si>
  <si>
    <t>34 Count</t>
  </si>
  <si>
    <t>35 Count</t>
  </si>
  <si>
    <t>37 Count</t>
  </si>
  <si>
    <t>38 Count</t>
  </si>
  <si>
    <t>39 Count</t>
  </si>
  <si>
    <t>40 Count</t>
  </si>
  <si>
    <t>41 Count</t>
  </si>
  <si>
    <t>42 Count</t>
  </si>
  <si>
    <t>43 Count</t>
  </si>
  <si>
    <t>44 Count</t>
  </si>
  <si>
    <t>45 Count</t>
  </si>
  <si>
    <t>46 Count</t>
  </si>
  <si>
    <t>47 Count</t>
  </si>
  <si>
    <t>48 Count</t>
  </si>
  <si>
    <t>49 Count</t>
  </si>
  <si>
    <t>50 Count</t>
  </si>
  <si>
    <t>51 Count</t>
  </si>
  <si>
    <t>52 Count</t>
  </si>
  <si>
    <t>53 Count</t>
  </si>
  <si>
    <t>54 Count</t>
  </si>
  <si>
    <t>55 Count</t>
  </si>
  <si>
    <t>56 Count</t>
  </si>
  <si>
    <t>57 Count</t>
  </si>
  <si>
    <t>58 Count</t>
  </si>
  <si>
    <t>59 Count</t>
  </si>
  <si>
    <t>60 Count</t>
  </si>
  <si>
    <t>61 Count</t>
  </si>
  <si>
    <t>62 Count</t>
  </si>
  <si>
    <t>63 Count</t>
  </si>
  <si>
    <t>64 Count</t>
  </si>
  <si>
    <t>65 Count</t>
  </si>
  <si>
    <t>66 Count</t>
  </si>
  <si>
    <t>67 Count</t>
  </si>
  <si>
    <t>68 Count</t>
  </si>
  <si>
    <t>69 Count</t>
  </si>
  <si>
    <t>70 Count</t>
  </si>
  <si>
    <t>71 Count</t>
  </si>
  <si>
    <t>72 Count</t>
  </si>
  <si>
    <t>73 Count</t>
  </si>
  <si>
    <t>74 Count</t>
  </si>
  <si>
    <t>75 Count</t>
  </si>
  <si>
    <t>76 Count</t>
  </si>
  <si>
    <t>77 Count</t>
  </si>
  <si>
    <t>78 Count</t>
  </si>
  <si>
    <t>79 Count</t>
  </si>
  <si>
    <t>80 Count</t>
  </si>
  <si>
    <t>81 Count</t>
  </si>
  <si>
    <t>82 Count</t>
  </si>
  <si>
    <t>83 Count</t>
  </si>
  <si>
    <t>84 Count</t>
  </si>
  <si>
    <t>85 Count</t>
  </si>
  <si>
    <t>86 Count</t>
  </si>
  <si>
    <t>87 Count</t>
  </si>
  <si>
    <t>88 Count</t>
  </si>
  <si>
    <t>89 Count</t>
  </si>
  <si>
    <t>90 Count</t>
  </si>
  <si>
    <t>91 Count</t>
  </si>
  <si>
    <t>92 Count</t>
  </si>
  <si>
    <t>93 Count</t>
  </si>
  <si>
    <t>94 Count</t>
  </si>
  <si>
    <t>95 Count</t>
  </si>
  <si>
    <t>96 Count</t>
  </si>
  <si>
    <t>97 Count</t>
  </si>
  <si>
    <t>98 Count</t>
  </si>
  <si>
    <t>99 Count</t>
  </si>
  <si>
    <t>100 Count</t>
  </si>
  <si>
    <t>101 Count</t>
  </si>
  <si>
    <t>102 Count</t>
  </si>
  <si>
    <t>103 Count</t>
  </si>
  <si>
    <t>104 Count</t>
  </si>
  <si>
    <t>105 Count</t>
  </si>
  <si>
    <t>106 Count</t>
  </si>
  <si>
    <t>107 Count</t>
  </si>
  <si>
    <t>108 Count</t>
  </si>
  <si>
    <t>109 Count</t>
  </si>
  <si>
    <t>110 Count</t>
  </si>
  <si>
    <t>111 Count</t>
  </si>
  <si>
    <t>112 Count</t>
  </si>
  <si>
    <t>113 Count</t>
  </si>
  <si>
    <t>114 Count</t>
  </si>
  <si>
    <t>115 Count</t>
  </si>
  <si>
    <t>116 Count</t>
  </si>
  <si>
    <t>117 Count</t>
  </si>
  <si>
    <t>118 Count</t>
  </si>
  <si>
    <t>119 Count</t>
  </si>
  <si>
    <t>120 Count</t>
  </si>
  <si>
    <t>121 Count</t>
  </si>
  <si>
    <t>122 Count</t>
  </si>
  <si>
    <t>123 Count</t>
  </si>
  <si>
    <t>124 Count</t>
  </si>
  <si>
    <t>125 Count</t>
  </si>
  <si>
    <t>126 Count</t>
  </si>
  <si>
    <t>127 Count</t>
  </si>
  <si>
    <t>128 Count</t>
  </si>
  <si>
    <t>129 Count</t>
  </si>
  <si>
    <t>130 Count</t>
  </si>
  <si>
    <t>131 Count</t>
  </si>
  <si>
    <t>132 Count</t>
  </si>
  <si>
    <t>133 Count</t>
  </si>
  <si>
    <t>134 Count</t>
  </si>
  <si>
    <t>135 Count</t>
  </si>
  <si>
    <t>136 Count</t>
  </si>
  <si>
    <t>137 Count</t>
  </si>
  <si>
    <t>138 Count</t>
  </si>
  <si>
    <t>139 Count</t>
  </si>
  <si>
    <t>140 Count</t>
  </si>
  <si>
    <t>141 Count</t>
  </si>
  <si>
    <t>142 Count</t>
  </si>
  <si>
    <t>143 Count</t>
  </si>
  <si>
    <t>144 Count</t>
  </si>
  <si>
    <t>145 Count</t>
  </si>
  <si>
    <t>146 Count</t>
  </si>
  <si>
    <t>147 Count</t>
  </si>
  <si>
    <t>148 Count</t>
  </si>
  <si>
    <t>149 Count</t>
  </si>
  <si>
    <t>150 Count</t>
  </si>
  <si>
    <t>151 Count</t>
  </si>
  <si>
    <t>152 Count</t>
  </si>
  <si>
    <t>153 Count</t>
  </si>
  <si>
    <t>154 Count</t>
  </si>
  <si>
    <t>155 Count</t>
  </si>
  <si>
    <t>156 Count</t>
  </si>
  <si>
    <t>157 Count</t>
  </si>
  <si>
    <t>158 Count</t>
  </si>
  <si>
    <t>159 Count</t>
  </si>
  <si>
    <t>160 Count</t>
  </si>
  <si>
    <t>161 Count</t>
  </si>
  <si>
    <t>162 Count</t>
  </si>
  <si>
    <t>163 Count</t>
  </si>
  <si>
    <t>164 Count</t>
  </si>
  <si>
    <t>165 Count</t>
  </si>
  <si>
    <t>166 Count</t>
  </si>
  <si>
    <t>167 Count</t>
  </si>
  <si>
    <t>168 Count</t>
  </si>
  <si>
    <t>169 Count</t>
  </si>
  <si>
    <t>170 Count</t>
  </si>
  <si>
    <t>171 Count</t>
  </si>
  <si>
    <t>172 Count</t>
  </si>
  <si>
    <t>173 Count</t>
  </si>
  <si>
    <t>174 Count</t>
  </si>
  <si>
    <t>175 Count</t>
  </si>
  <si>
    <t>176 Count</t>
  </si>
  <si>
    <t>177 Count</t>
  </si>
  <si>
    <t>178 Count</t>
  </si>
  <si>
    <t>179 Count</t>
  </si>
  <si>
    <t>180 Count</t>
  </si>
  <si>
    <t>181 Count</t>
  </si>
  <si>
    <t>182 Count</t>
  </si>
  <si>
    <t>183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</si>
</sst>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8"/>
      <color rgb="FF000000"/>
      <name val="Courier New"/>
      <family val="3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/>
    <xf numFmtId="0" fontId="0" fillId="33" borderId="0" xfId="0" applyFill="1"/>
    <xf numFmtId="0" fontId="19" fillId="33" borderId="0" xfId="0" applyFont="1" applyFill="1" applyAlignment="1">
      <alignment horizontal="right" vertical="center" wrapText="1"/>
    </xf>
    <xf numFmtId="0" fontId="19" fillId="34" borderId="0" xfId="0" applyFont="1" applyFill="1" applyAlignment="1">
      <alignment horizontal="right" vertical="top" wrapText="1"/>
    </xf>
    <xf numFmtId="0" fontId="18" fillId="34" borderId="0" xfId="0" applyFont="1" applyFill="1" applyAlignment="1">
      <alignment horizontal="right" vertical="center" wrapText="1"/>
    </xf>
    <xf numFmtId="0" fontId="18" fillId="33" borderId="0" xfId="0" applyFont="1" applyFill="1" applyAlignment="1">
      <alignment horizontal="right" vertical="center" wrapText="1"/>
    </xf>
    <xf numFmtId="0" fontId="19" fillId="34" borderId="0" xfId="0" applyFont="1" applyFill="1" applyAlignment="1">
      <alignment horizontal="right" vertical="center" wrapText="1"/>
    </xf>
    <xf numFmtId="0" fontId="19" fillId="33" borderId="0" xfId="0" applyFont="1" applyFill="1" applyAlignment="1">
      <alignment horizontal="right" vertical="top" wrapText="1"/>
    </xf>
    <xf numFmtId="0" fontId="19" fillId="34" borderId="0" xfId="0" applyFont="1" applyFill="1" applyAlignment="1">
      <alignment horizontal="right" vertical="top" wrapText="1"/>
    </xf>
    <xf numFmtId="0" fontId="19" fillId="33" borderId="0" xfId="0" applyFont="1" applyFill="1" applyAlignment="1">
      <alignment horizontal="right" vertical="top" wrapText="1"/>
    </xf>
    <xf numFmtId="0" fontId="20" fillId="0" borderId="0" xfId="0" applyFont="1" applyAlignment="1">
      <alignment horizontal="left" vertical="center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81"/>
  <sheetViews>
    <sheetView topLeftCell="A2" workbookViewId="0">
      <selection activeCell="H2" sqref="H2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v>142</v>
      </c>
      <c r="B2" t="s">
        <v>238</v>
      </c>
      <c r="C2">
        <v>35</v>
      </c>
      <c r="D2" t="s">
        <v>39</v>
      </c>
      <c r="E2">
        <v>175</v>
      </c>
      <c r="F2" t="s">
        <v>239</v>
      </c>
      <c r="G2">
        <v>4.4800000000000004</v>
      </c>
    </row>
    <row r="3" spans="1:7" x14ac:dyDescent="0.3">
      <c r="A3">
        <v>274</v>
      </c>
      <c r="B3" t="s">
        <v>390</v>
      </c>
      <c r="C3">
        <v>29</v>
      </c>
      <c r="D3" t="s">
        <v>39</v>
      </c>
      <c r="E3">
        <v>82</v>
      </c>
      <c r="F3" t="s">
        <v>46</v>
      </c>
      <c r="G3">
        <v>4.9000000000000004</v>
      </c>
    </row>
    <row r="4" spans="1:7" x14ac:dyDescent="0.3">
      <c r="A4">
        <v>578</v>
      </c>
      <c r="B4" t="s">
        <v>390</v>
      </c>
      <c r="C4">
        <v>29</v>
      </c>
      <c r="D4" t="s">
        <v>39</v>
      </c>
      <c r="E4">
        <v>153</v>
      </c>
      <c r="F4" t="s">
        <v>312</v>
      </c>
      <c r="G4">
        <v>3.74</v>
      </c>
    </row>
    <row r="5" spans="1:7" x14ac:dyDescent="0.3">
      <c r="A5">
        <v>775</v>
      </c>
      <c r="B5" t="s">
        <v>762</v>
      </c>
      <c r="C5">
        <v>21</v>
      </c>
      <c r="D5" t="s">
        <v>39</v>
      </c>
      <c r="E5">
        <v>60</v>
      </c>
      <c r="F5" t="s">
        <v>110</v>
      </c>
      <c r="G5">
        <v>3.54</v>
      </c>
    </row>
    <row r="6" spans="1:7" x14ac:dyDescent="0.3">
      <c r="A6">
        <v>516</v>
      </c>
      <c r="B6" t="s">
        <v>603</v>
      </c>
      <c r="C6">
        <v>39</v>
      </c>
      <c r="D6" t="s">
        <v>39</v>
      </c>
      <c r="E6">
        <v>35</v>
      </c>
      <c r="F6" t="s">
        <v>411</v>
      </c>
      <c r="G6">
        <v>3.45</v>
      </c>
    </row>
    <row r="7" spans="1:7" x14ac:dyDescent="0.3">
      <c r="A7">
        <v>429</v>
      </c>
      <c r="B7" t="s">
        <v>534</v>
      </c>
      <c r="C7">
        <v>22</v>
      </c>
      <c r="D7" t="s">
        <v>39</v>
      </c>
      <c r="E7">
        <v>179</v>
      </c>
      <c r="F7" t="s">
        <v>72</v>
      </c>
      <c r="G7">
        <v>4.4800000000000004</v>
      </c>
    </row>
    <row r="8" spans="1:7" x14ac:dyDescent="0.3">
      <c r="A8">
        <v>155</v>
      </c>
      <c r="B8" t="s">
        <v>253</v>
      </c>
      <c r="C8">
        <v>10</v>
      </c>
      <c r="D8" t="s">
        <v>39</v>
      </c>
      <c r="E8">
        <v>98</v>
      </c>
      <c r="F8" t="s">
        <v>40</v>
      </c>
      <c r="G8">
        <v>2.89</v>
      </c>
    </row>
    <row r="9" spans="1:7" x14ac:dyDescent="0.3">
      <c r="A9">
        <v>440</v>
      </c>
      <c r="B9" t="s">
        <v>543</v>
      </c>
      <c r="C9">
        <v>29</v>
      </c>
      <c r="D9" t="s">
        <v>39</v>
      </c>
      <c r="E9">
        <v>75</v>
      </c>
      <c r="F9" t="s">
        <v>218</v>
      </c>
      <c r="G9">
        <v>2.42</v>
      </c>
    </row>
    <row r="10" spans="1:7" x14ac:dyDescent="0.3">
      <c r="A10">
        <v>618</v>
      </c>
      <c r="B10" t="s">
        <v>543</v>
      </c>
      <c r="C10">
        <v>29</v>
      </c>
      <c r="D10" t="s">
        <v>39</v>
      </c>
      <c r="E10">
        <v>183</v>
      </c>
      <c r="F10" t="s">
        <v>265</v>
      </c>
      <c r="G10">
        <v>1.0900000000000001</v>
      </c>
    </row>
    <row r="11" spans="1:7" x14ac:dyDescent="0.3">
      <c r="A11">
        <v>666</v>
      </c>
      <c r="B11" t="s">
        <v>698</v>
      </c>
      <c r="C11">
        <v>20</v>
      </c>
      <c r="D11" t="s">
        <v>39</v>
      </c>
      <c r="E11">
        <v>82</v>
      </c>
      <c r="F11" t="s">
        <v>46</v>
      </c>
      <c r="G11">
        <v>4.9000000000000004</v>
      </c>
    </row>
    <row r="12" spans="1:7" x14ac:dyDescent="0.3">
      <c r="A12">
        <v>41</v>
      </c>
      <c r="B12" t="s">
        <v>89</v>
      </c>
      <c r="C12">
        <v>20</v>
      </c>
      <c r="D12" t="s">
        <v>39</v>
      </c>
      <c r="E12">
        <v>7</v>
      </c>
      <c r="F12" t="s">
        <v>90</v>
      </c>
      <c r="G12">
        <v>1.33</v>
      </c>
    </row>
    <row r="13" spans="1:7" x14ac:dyDescent="0.3">
      <c r="A13">
        <v>178</v>
      </c>
      <c r="B13" t="s">
        <v>284</v>
      </c>
      <c r="C13">
        <v>20</v>
      </c>
      <c r="D13" t="s">
        <v>39</v>
      </c>
      <c r="E13">
        <v>57</v>
      </c>
      <c r="F13" t="s">
        <v>50</v>
      </c>
      <c r="G13">
        <v>4.5999999999999996</v>
      </c>
    </row>
    <row r="14" spans="1:7" x14ac:dyDescent="0.3">
      <c r="A14">
        <v>569</v>
      </c>
      <c r="B14" t="s">
        <v>284</v>
      </c>
      <c r="C14">
        <v>20</v>
      </c>
      <c r="D14" t="s">
        <v>39</v>
      </c>
      <c r="E14">
        <v>87</v>
      </c>
      <c r="F14" t="s">
        <v>210</v>
      </c>
      <c r="G14">
        <v>4.43</v>
      </c>
    </row>
    <row r="15" spans="1:7" x14ac:dyDescent="0.3">
      <c r="A15">
        <v>92</v>
      </c>
      <c r="B15" t="s">
        <v>170</v>
      </c>
      <c r="C15">
        <v>21</v>
      </c>
      <c r="D15" t="s">
        <v>39</v>
      </c>
      <c r="E15">
        <v>39</v>
      </c>
      <c r="F15" t="s">
        <v>171</v>
      </c>
      <c r="G15">
        <v>3.94</v>
      </c>
    </row>
    <row r="16" spans="1:7" x14ac:dyDescent="0.3">
      <c r="A16">
        <v>653</v>
      </c>
      <c r="B16" t="s">
        <v>688</v>
      </c>
      <c r="C16">
        <v>32</v>
      </c>
      <c r="D16" t="s">
        <v>39</v>
      </c>
      <c r="E16">
        <v>53</v>
      </c>
      <c r="F16" t="s">
        <v>80</v>
      </c>
      <c r="G16">
        <v>2.0499999999999998</v>
      </c>
    </row>
    <row r="17" spans="1:7" x14ac:dyDescent="0.3">
      <c r="A17">
        <v>347</v>
      </c>
      <c r="B17" t="s">
        <v>464</v>
      </c>
      <c r="C17">
        <v>23</v>
      </c>
      <c r="D17" t="s">
        <v>39</v>
      </c>
      <c r="E17">
        <v>11</v>
      </c>
      <c r="F17" t="s">
        <v>298</v>
      </c>
      <c r="G17">
        <v>3.65</v>
      </c>
    </row>
    <row r="18" spans="1:7" x14ac:dyDescent="0.3">
      <c r="A18">
        <v>504</v>
      </c>
      <c r="B18" t="s">
        <v>464</v>
      </c>
      <c r="C18">
        <v>23</v>
      </c>
      <c r="D18" t="s">
        <v>39</v>
      </c>
      <c r="E18">
        <v>82</v>
      </c>
      <c r="F18" t="s">
        <v>46</v>
      </c>
      <c r="G18">
        <v>4.9000000000000004</v>
      </c>
    </row>
    <row r="19" spans="1:7" x14ac:dyDescent="0.3">
      <c r="A19">
        <v>384</v>
      </c>
      <c r="B19" t="s">
        <v>497</v>
      </c>
      <c r="C19">
        <v>21</v>
      </c>
      <c r="D19" t="s">
        <v>39</v>
      </c>
      <c r="E19">
        <v>110</v>
      </c>
      <c r="F19" t="s">
        <v>105</v>
      </c>
      <c r="G19">
        <v>1.44</v>
      </c>
    </row>
    <row r="20" spans="1:7" x14ac:dyDescent="0.3">
      <c r="A20">
        <v>404</v>
      </c>
      <c r="B20" t="s">
        <v>497</v>
      </c>
      <c r="C20">
        <v>21</v>
      </c>
      <c r="D20" t="s">
        <v>39</v>
      </c>
      <c r="E20">
        <v>71</v>
      </c>
      <c r="F20" t="s">
        <v>62</v>
      </c>
      <c r="G20">
        <v>1.61</v>
      </c>
    </row>
    <row r="21" spans="1:7" x14ac:dyDescent="0.3">
      <c r="A21">
        <v>222</v>
      </c>
      <c r="B21" t="s">
        <v>337</v>
      </c>
      <c r="C21">
        <v>22</v>
      </c>
      <c r="D21" t="s">
        <v>39</v>
      </c>
      <c r="E21">
        <v>178</v>
      </c>
      <c r="F21" t="s">
        <v>60</v>
      </c>
      <c r="G21">
        <v>4.2300000000000004</v>
      </c>
    </row>
    <row r="22" spans="1:7" x14ac:dyDescent="0.3">
      <c r="A22">
        <v>520</v>
      </c>
      <c r="B22" t="s">
        <v>337</v>
      </c>
      <c r="C22">
        <v>22</v>
      </c>
      <c r="D22" t="s">
        <v>39</v>
      </c>
      <c r="E22">
        <v>109</v>
      </c>
      <c r="F22" t="s">
        <v>183</v>
      </c>
      <c r="G22">
        <v>4.76</v>
      </c>
    </row>
    <row r="23" spans="1:7" x14ac:dyDescent="0.3">
      <c r="A23">
        <v>564</v>
      </c>
      <c r="B23" t="s">
        <v>337</v>
      </c>
      <c r="C23">
        <v>22</v>
      </c>
      <c r="D23" t="s">
        <v>39</v>
      </c>
      <c r="E23">
        <v>52</v>
      </c>
      <c r="F23" t="s">
        <v>415</v>
      </c>
      <c r="G23">
        <v>4.84</v>
      </c>
    </row>
    <row r="24" spans="1:7" x14ac:dyDescent="0.3">
      <c r="A24">
        <v>66</v>
      </c>
      <c r="B24" t="s">
        <v>133</v>
      </c>
      <c r="C24">
        <v>21</v>
      </c>
      <c r="D24" t="s">
        <v>39</v>
      </c>
      <c r="E24">
        <v>6</v>
      </c>
      <c r="F24" t="s">
        <v>134</v>
      </c>
      <c r="G24">
        <v>3.7</v>
      </c>
    </row>
    <row r="25" spans="1:7" x14ac:dyDescent="0.3">
      <c r="A25">
        <v>586</v>
      </c>
      <c r="B25" t="s">
        <v>649</v>
      </c>
      <c r="C25">
        <v>23</v>
      </c>
      <c r="D25" t="s">
        <v>39</v>
      </c>
      <c r="E25">
        <v>155</v>
      </c>
      <c r="F25" t="s">
        <v>399</v>
      </c>
      <c r="G25">
        <v>1.01</v>
      </c>
    </row>
    <row r="26" spans="1:7" x14ac:dyDescent="0.3">
      <c r="A26">
        <v>448</v>
      </c>
      <c r="B26" t="s">
        <v>548</v>
      </c>
      <c r="C26">
        <v>18</v>
      </c>
      <c r="D26" t="s">
        <v>39</v>
      </c>
      <c r="E26">
        <v>68</v>
      </c>
      <c r="F26" t="s">
        <v>143</v>
      </c>
      <c r="G26">
        <v>4.32</v>
      </c>
    </row>
    <row r="27" spans="1:7" x14ac:dyDescent="0.3">
      <c r="A27">
        <v>446</v>
      </c>
      <c r="B27" t="s">
        <v>547</v>
      </c>
      <c r="C27">
        <v>7</v>
      </c>
      <c r="D27" t="s">
        <v>39</v>
      </c>
      <c r="E27">
        <v>119</v>
      </c>
      <c r="F27" t="s">
        <v>66</v>
      </c>
      <c r="G27">
        <v>4.32</v>
      </c>
    </row>
    <row r="28" spans="1:7" x14ac:dyDescent="0.3">
      <c r="A28">
        <v>485</v>
      </c>
      <c r="B28" t="s">
        <v>580</v>
      </c>
      <c r="C28">
        <v>26</v>
      </c>
      <c r="D28" t="s">
        <v>39</v>
      </c>
      <c r="E28">
        <v>94</v>
      </c>
      <c r="F28" t="s">
        <v>373</v>
      </c>
      <c r="G28">
        <v>3.49</v>
      </c>
    </row>
    <row r="29" spans="1:7" x14ac:dyDescent="0.3">
      <c r="A29">
        <v>451</v>
      </c>
      <c r="B29" t="s">
        <v>551</v>
      </c>
      <c r="C29">
        <v>15</v>
      </c>
      <c r="D29" t="s">
        <v>39</v>
      </c>
      <c r="E29">
        <v>122</v>
      </c>
      <c r="F29" t="s">
        <v>552</v>
      </c>
      <c r="G29">
        <v>2.85</v>
      </c>
    </row>
    <row r="30" spans="1:7" x14ac:dyDescent="0.3">
      <c r="A30">
        <v>731</v>
      </c>
      <c r="B30" t="s">
        <v>738</v>
      </c>
      <c r="C30">
        <v>22</v>
      </c>
      <c r="D30" t="s">
        <v>39</v>
      </c>
      <c r="E30">
        <v>12</v>
      </c>
      <c r="F30" t="s">
        <v>158</v>
      </c>
      <c r="G30">
        <v>1.02</v>
      </c>
    </row>
    <row r="31" spans="1:7" x14ac:dyDescent="0.3">
      <c r="A31">
        <v>422</v>
      </c>
      <c r="B31" t="s">
        <v>528</v>
      </c>
      <c r="C31">
        <v>24</v>
      </c>
      <c r="D31" t="s">
        <v>39</v>
      </c>
      <c r="E31">
        <v>154</v>
      </c>
      <c r="F31" t="s">
        <v>290</v>
      </c>
      <c r="G31">
        <v>4.4000000000000004</v>
      </c>
    </row>
    <row r="32" spans="1:7" x14ac:dyDescent="0.3">
      <c r="A32">
        <v>519</v>
      </c>
      <c r="B32" t="s">
        <v>528</v>
      </c>
      <c r="C32">
        <v>24</v>
      </c>
      <c r="D32" t="s">
        <v>39</v>
      </c>
      <c r="E32">
        <v>140</v>
      </c>
      <c r="F32" t="s">
        <v>70</v>
      </c>
      <c r="G32">
        <v>2.94</v>
      </c>
    </row>
    <row r="33" spans="1:7" x14ac:dyDescent="0.3">
      <c r="A33">
        <v>117</v>
      </c>
      <c r="B33" t="s">
        <v>206</v>
      </c>
      <c r="C33">
        <v>21</v>
      </c>
      <c r="D33" t="s">
        <v>39</v>
      </c>
      <c r="E33">
        <v>117</v>
      </c>
      <c r="F33" t="s">
        <v>207</v>
      </c>
      <c r="G33">
        <v>1.79</v>
      </c>
    </row>
    <row r="34" spans="1:7" x14ac:dyDescent="0.3">
      <c r="A34">
        <v>119</v>
      </c>
      <c r="B34" t="s">
        <v>209</v>
      </c>
      <c r="C34">
        <v>15</v>
      </c>
      <c r="D34" t="s">
        <v>39</v>
      </c>
      <c r="E34">
        <v>87</v>
      </c>
      <c r="F34" t="s">
        <v>210</v>
      </c>
      <c r="G34">
        <v>4.43</v>
      </c>
    </row>
    <row r="35" spans="1:7" x14ac:dyDescent="0.3">
      <c r="A35">
        <v>437</v>
      </c>
      <c r="B35" t="s">
        <v>540</v>
      </c>
      <c r="C35">
        <v>24</v>
      </c>
      <c r="D35" t="s">
        <v>39</v>
      </c>
      <c r="E35">
        <v>43</v>
      </c>
      <c r="F35" t="s">
        <v>481</v>
      </c>
      <c r="G35">
        <v>3.54</v>
      </c>
    </row>
    <row r="36" spans="1:7" x14ac:dyDescent="0.3">
      <c r="A36">
        <v>206</v>
      </c>
      <c r="B36" t="s">
        <v>321</v>
      </c>
      <c r="C36">
        <v>20</v>
      </c>
      <c r="D36" t="s">
        <v>39</v>
      </c>
      <c r="E36">
        <v>78</v>
      </c>
      <c r="F36" t="s">
        <v>208</v>
      </c>
      <c r="G36">
        <v>4.4000000000000004</v>
      </c>
    </row>
    <row r="37" spans="1:7" x14ac:dyDescent="0.3">
      <c r="A37">
        <v>71</v>
      </c>
      <c r="B37" t="s">
        <v>139</v>
      </c>
      <c r="C37">
        <v>20</v>
      </c>
      <c r="D37" t="s">
        <v>39</v>
      </c>
      <c r="E37">
        <v>29</v>
      </c>
      <c r="F37" t="s">
        <v>140</v>
      </c>
      <c r="G37">
        <v>1.98</v>
      </c>
    </row>
    <row r="38" spans="1:7" x14ac:dyDescent="0.3">
      <c r="A38">
        <v>140</v>
      </c>
      <c r="B38" t="s">
        <v>139</v>
      </c>
      <c r="C38">
        <v>20</v>
      </c>
      <c r="D38" t="s">
        <v>39</v>
      </c>
      <c r="E38">
        <v>8</v>
      </c>
      <c r="F38" t="s">
        <v>237</v>
      </c>
      <c r="G38">
        <v>3.93</v>
      </c>
    </row>
    <row r="39" spans="1:7" x14ac:dyDescent="0.3">
      <c r="A39">
        <v>169</v>
      </c>
      <c r="B39" t="s">
        <v>270</v>
      </c>
      <c r="C39">
        <v>16</v>
      </c>
      <c r="D39" t="s">
        <v>39</v>
      </c>
      <c r="E39">
        <v>123</v>
      </c>
      <c r="F39" t="s">
        <v>271</v>
      </c>
      <c r="G39">
        <v>2.2799999999999998</v>
      </c>
    </row>
    <row r="40" spans="1:7" x14ac:dyDescent="0.3">
      <c r="A40">
        <v>297</v>
      </c>
      <c r="B40" t="s">
        <v>270</v>
      </c>
      <c r="C40">
        <v>16</v>
      </c>
      <c r="D40" t="s">
        <v>39</v>
      </c>
      <c r="E40">
        <v>169</v>
      </c>
      <c r="F40" t="s">
        <v>21</v>
      </c>
      <c r="G40">
        <v>2.1800000000000002</v>
      </c>
    </row>
    <row r="41" spans="1:7" x14ac:dyDescent="0.3">
      <c r="A41">
        <v>81</v>
      </c>
      <c r="B41" t="s">
        <v>154</v>
      </c>
      <c r="C41">
        <v>8</v>
      </c>
      <c r="D41" t="s">
        <v>39</v>
      </c>
      <c r="E41">
        <v>174</v>
      </c>
      <c r="F41" t="s">
        <v>155</v>
      </c>
      <c r="G41">
        <v>3.47</v>
      </c>
    </row>
    <row r="42" spans="1:7" x14ac:dyDescent="0.3">
      <c r="A42">
        <v>357</v>
      </c>
      <c r="B42" t="s">
        <v>472</v>
      </c>
      <c r="C42">
        <v>23</v>
      </c>
      <c r="D42" t="s">
        <v>39</v>
      </c>
      <c r="E42">
        <v>37</v>
      </c>
      <c r="F42" t="s">
        <v>68</v>
      </c>
      <c r="G42">
        <v>3.16</v>
      </c>
    </row>
    <row r="43" spans="1:7" x14ac:dyDescent="0.3">
      <c r="A43">
        <v>369</v>
      </c>
      <c r="B43" t="s">
        <v>472</v>
      </c>
      <c r="C43">
        <v>23</v>
      </c>
      <c r="D43" t="s">
        <v>39</v>
      </c>
      <c r="E43">
        <v>137</v>
      </c>
      <c r="F43" t="s">
        <v>330</v>
      </c>
      <c r="G43">
        <v>3.39</v>
      </c>
    </row>
    <row r="44" spans="1:7" x14ac:dyDescent="0.3">
      <c r="A44">
        <v>402</v>
      </c>
      <c r="B44" t="s">
        <v>514</v>
      </c>
      <c r="C44">
        <v>23</v>
      </c>
      <c r="D44" t="s">
        <v>39</v>
      </c>
      <c r="E44">
        <v>129</v>
      </c>
      <c r="F44" t="s">
        <v>163</v>
      </c>
      <c r="G44">
        <v>1.54</v>
      </c>
    </row>
    <row r="45" spans="1:7" x14ac:dyDescent="0.3">
      <c r="A45">
        <v>199</v>
      </c>
      <c r="B45" t="s">
        <v>313</v>
      </c>
      <c r="C45">
        <v>15</v>
      </c>
      <c r="D45" t="s">
        <v>39</v>
      </c>
      <c r="E45">
        <v>138</v>
      </c>
      <c r="F45" t="s">
        <v>103</v>
      </c>
      <c r="G45">
        <v>4.74</v>
      </c>
    </row>
    <row r="46" spans="1:7" x14ac:dyDescent="0.3">
      <c r="A46">
        <v>215</v>
      </c>
      <c r="B46" t="s">
        <v>313</v>
      </c>
      <c r="C46">
        <v>15</v>
      </c>
      <c r="D46" t="s">
        <v>39</v>
      </c>
      <c r="E46">
        <v>40</v>
      </c>
      <c r="F46" t="s">
        <v>42</v>
      </c>
      <c r="G46">
        <v>2.52</v>
      </c>
    </row>
    <row r="47" spans="1:7" x14ac:dyDescent="0.3">
      <c r="A47">
        <v>683</v>
      </c>
      <c r="B47" t="s">
        <v>313</v>
      </c>
      <c r="C47">
        <v>15</v>
      </c>
      <c r="D47" t="s">
        <v>39</v>
      </c>
      <c r="E47">
        <v>145</v>
      </c>
      <c r="F47" t="s">
        <v>227</v>
      </c>
      <c r="G47">
        <v>4.58</v>
      </c>
    </row>
    <row r="48" spans="1:7" x14ac:dyDescent="0.3">
      <c r="A48">
        <v>333</v>
      </c>
      <c r="B48" t="s">
        <v>448</v>
      </c>
      <c r="C48">
        <v>17</v>
      </c>
      <c r="D48" t="s">
        <v>39</v>
      </c>
      <c r="E48">
        <v>114</v>
      </c>
      <c r="F48" t="s">
        <v>315</v>
      </c>
      <c r="G48">
        <v>3.82</v>
      </c>
    </row>
    <row r="49" spans="1:7" x14ac:dyDescent="0.3">
      <c r="A49">
        <v>339</v>
      </c>
      <c r="B49" t="s">
        <v>456</v>
      </c>
      <c r="C49">
        <v>8</v>
      </c>
      <c r="D49" t="s">
        <v>39</v>
      </c>
      <c r="E49">
        <v>124</v>
      </c>
      <c r="F49" t="s">
        <v>146</v>
      </c>
      <c r="G49">
        <v>1.29</v>
      </c>
    </row>
    <row r="50" spans="1:7" x14ac:dyDescent="0.3">
      <c r="A50">
        <v>767</v>
      </c>
      <c r="B50" t="s">
        <v>456</v>
      </c>
      <c r="C50">
        <v>8</v>
      </c>
      <c r="D50" t="s">
        <v>39</v>
      </c>
      <c r="E50">
        <v>92</v>
      </c>
      <c r="F50" t="s">
        <v>13</v>
      </c>
      <c r="G50">
        <v>4.88</v>
      </c>
    </row>
    <row r="51" spans="1:7" x14ac:dyDescent="0.3">
      <c r="A51">
        <v>667</v>
      </c>
      <c r="B51" t="s">
        <v>699</v>
      </c>
      <c r="C51">
        <v>40</v>
      </c>
      <c r="D51" t="s">
        <v>39</v>
      </c>
      <c r="E51">
        <v>66</v>
      </c>
      <c r="F51" t="s">
        <v>347</v>
      </c>
      <c r="G51">
        <v>4.4000000000000004</v>
      </c>
    </row>
    <row r="52" spans="1:7" x14ac:dyDescent="0.3">
      <c r="A52">
        <v>112</v>
      </c>
      <c r="B52" t="s">
        <v>199</v>
      </c>
      <c r="C52">
        <v>21</v>
      </c>
      <c r="D52" t="s">
        <v>39</v>
      </c>
      <c r="E52">
        <v>7</v>
      </c>
      <c r="F52" t="s">
        <v>90</v>
      </c>
      <c r="G52">
        <v>1.33</v>
      </c>
    </row>
    <row r="53" spans="1:7" x14ac:dyDescent="0.3">
      <c r="A53">
        <v>278</v>
      </c>
      <c r="B53" t="s">
        <v>199</v>
      </c>
      <c r="C53">
        <v>21</v>
      </c>
      <c r="D53" t="s">
        <v>39</v>
      </c>
      <c r="E53">
        <v>167</v>
      </c>
      <c r="F53" t="s">
        <v>394</v>
      </c>
      <c r="G53">
        <v>3.61</v>
      </c>
    </row>
    <row r="54" spans="1:7" x14ac:dyDescent="0.3">
      <c r="A54">
        <v>528</v>
      </c>
      <c r="B54" t="s">
        <v>611</v>
      </c>
      <c r="C54">
        <v>22</v>
      </c>
      <c r="D54" t="s">
        <v>39</v>
      </c>
      <c r="E54">
        <v>19</v>
      </c>
      <c r="F54" t="s">
        <v>358</v>
      </c>
      <c r="G54">
        <v>1.02</v>
      </c>
    </row>
    <row r="55" spans="1:7" x14ac:dyDescent="0.3">
      <c r="A55">
        <v>84</v>
      </c>
      <c r="B55" t="s">
        <v>159</v>
      </c>
      <c r="C55">
        <v>21</v>
      </c>
      <c r="D55" t="s">
        <v>39</v>
      </c>
      <c r="E55">
        <v>34</v>
      </c>
      <c r="F55" t="s">
        <v>132</v>
      </c>
      <c r="G55">
        <v>2.2200000000000002</v>
      </c>
    </row>
    <row r="56" spans="1:7" x14ac:dyDescent="0.3">
      <c r="A56">
        <v>558</v>
      </c>
      <c r="B56" t="s">
        <v>632</v>
      </c>
      <c r="C56">
        <v>25</v>
      </c>
      <c r="D56" t="s">
        <v>39</v>
      </c>
      <c r="E56">
        <v>108</v>
      </c>
      <c r="F56" t="s">
        <v>9</v>
      </c>
      <c r="G56">
        <v>3.53</v>
      </c>
    </row>
    <row r="57" spans="1:7" x14ac:dyDescent="0.3">
      <c r="A57">
        <v>588</v>
      </c>
      <c r="B57" t="s">
        <v>632</v>
      </c>
      <c r="C57">
        <v>25</v>
      </c>
      <c r="D57" t="s">
        <v>39</v>
      </c>
      <c r="E57">
        <v>15</v>
      </c>
      <c r="F57" t="s">
        <v>108</v>
      </c>
      <c r="G57">
        <v>2.96</v>
      </c>
    </row>
    <row r="58" spans="1:7" x14ac:dyDescent="0.3">
      <c r="A58">
        <v>327</v>
      </c>
      <c r="B58" t="s">
        <v>442</v>
      </c>
      <c r="C58">
        <v>22</v>
      </c>
      <c r="D58" t="s">
        <v>39</v>
      </c>
      <c r="E58">
        <v>17</v>
      </c>
      <c r="F58" t="s">
        <v>166</v>
      </c>
      <c r="G58">
        <v>1.7</v>
      </c>
    </row>
    <row r="59" spans="1:7" x14ac:dyDescent="0.3">
      <c r="A59">
        <v>427</v>
      </c>
      <c r="B59" t="s">
        <v>533</v>
      </c>
      <c r="C59">
        <v>24</v>
      </c>
      <c r="D59" t="s">
        <v>39</v>
      </c>
      <c r="E59">
        <v>170</v>
      </c>
      <c r="F59" t="s">
        <v>101</v>
      </c>
      <c r="G59">
        <v>3.97</v>
      </c>
    </row>
    <row r="60" spans="1:7" x14ac:dyDescent="0.3">
      <c r="A60">
        <v>608</v>
      </c>
      <c r="B60" t="s">
        <v>533</v>
      </c>
      <c r="C60">
        <v>24</v>
      </c>
      <c r="D60" t="s">
        <v>39</v>
      </c>
      <c r="E60">
        <v>132</v>
      </c>
      <c r="F60" t="s">
        <v>58</v>
      </c>
      <c r="G60">
        <v>3.33</v>
      </c>
    </row>
    <row r="61" spans="1:7" x14ac:dyDescent="0.3">
      <c r="A61">
        <v>15</v>
      </c>
      <c r="B61" t="s">
        <v>38</v>
      </c>
      <c r="C61">
        <v>21</v>
      </c>
      <c r="D61" t="s">
        <v>39</v>
      </c>
      <c r="E61">
        <v>98</v>
      </c>
      <c r="F61" t="s">
        <v>40</v>
      </c>
      <c r="G61">
        <v>2.89</v>
      </c>
    </row>
    <row r="62" spans="1:7" x14ac:dyDescent="0.3">
      <c r="A62">
        <v>641</v>
      </c>
      <c r="B62" t="s">
        <v>679</v>
      </c>
      <c r="C62">
        <v>20</v>
      </c>
      <c r="D62" t="s">
        <v>39</v>
      </c>
      <c r="E62">
        <v>49</v>
      </c>
      <c r="F62" t="s">
        <v>460</v>
      </c>
      <c r="G62">
        <v>2.96</v>
      </c>
    </row>
    <row r="63" spans="1:7" x14ac:dyDescent="0.3">
      <c r="A63">
        <v>409</v>
      </c>
      <c r="B63" t="s">
        <v>518</v>
      </c>
      <c r="C63">
        <v>15</v>
      </c>
      <c r="D63" t="s">
        <v>39</v>
      </c>
      <c r="E63">
        <v>144</v>
      </c>
      <c r="F63" t="s">
        <v>278</v>
      </c>
      <c r="G63">
        <v>1.94</v>
      </c>
    </row>
    <row r="64" spans="1:7" x14ac:dyDescent="0.3">
      <c r="A64">
        <v>196</v>
      </c>
      <c r="B64" t="s">
        <v>310</v>
      </c>
      <c r="C64">
        <v>35</v>
      </c>
      <c r="D64" t="s">
        <v>39</v>
      </c>
      <c r="E64">
        <v>9</v>
      </c>
      <c r="F64" t="s">
        <v>95</v>
      </c>
      <c r="G64">
        <v>2.73</v>
      </c>
    </row>
    <row r="65" spans="1:7" x14ac:dyDescent="0.3">
      <c r="A65">
        <v>157</v>
      </c>
      <c r="B65" t="s">
        <v>254</v>
      </c>
      <c r="C65">
        <v>18</v>
      </c>
      <c r="D65" t="s">
        <v>39</v>
      </c>
      <c r="E65">
        <v>108</v>
      </c>
      <c r="F65" t="s">
        <v>9</v>
      </c>
      <c r="G65">
        <v>3.53</v>
      </c>
    </row>
    <row r="66" spans="1:7" x14ac:dyDescent="0.3">
      <c r="A66">
        <v>72</v>
      </c>
      <c r="B66" t="s">
        <v>141</v>
      </c>
      <c r="C66">
        <v>25</v>
      </c>
      <c r="D66" t="s">
        <v>39</v>
      </c>
      <c r="E66">
        <v>178</v>
      </c>
      <c r="F66" t="s">
        <v>60</v>
      </c>
      <c r="G66">
        <v>4.2300000000000004</v>
      </c>
    </row>
    <row r="67" spans="1:7" x14ac:dyDescent="0.3">
      <c r="A67">
        <v>579</v>
      </c>
      <c r="B67" t="s">
        <v>141</v>
      </c>
      <c r="C67">
        <v>25</v>
      </c>
      <c r="D67" t="s">
        <v>39</v>
      </c>
      <c r="E67">
        <v>12</v>
      </c>
      <c r="F67" t="s">
        <v>158</v>
      </c>
      <c r="G67">
        <v>1.02</v>
      </c>
    </row>
    <row r="68" spans="1:7" x14ac:dyDescent="0.3">
      <c r="A68">
        <v>289</v>
      </c>
      <c r="B68" t="s">
        <v>408</v>
      </c>
      <c r="C68">
        <v>25</v>
      </c>
      <c r="D68" t="s">
        <v>39</v>
      </c>
      <c r="E68">
        <v>83</v>
      </c>
      <c r="F68" t="s">
        <v>363</v>
      </c>
      <c r="G68">
        <v>3.33</v>
      </c>
    </row>
    <row r="69" spans="1:7" x14ac:dyDescent="0.3">
      <c r="A69">
        <v>418</v>
      </c>
      <c r="B69" t="s">
        <v>408</v>
      </c>
      <c r="C69">
        <v>25</v>
      </c>
      <c r="D69" t="s">
        <v>39</v>
      </c>
      <c r="E69">
        <v>125</v>
      </c>
      <c r="F69" t="s">
        <v>128</v>
      </c>
      <c r="G69">
        <v>1</v>
      </c>
    </row>
    <row r="70" spans="1:7" x14ac:dyDescent="0.3">
      <c r="A70">
        <v>76</v>
      </c>
      <c r="B70" t="s">
        <v>147</v>
      </c>
      <c r="C70">
        <v>13</v>
      </c>
      <c r="D70" t="s">
        <v>39</v>
      </c>
      <c r="E70">
        <v>88</v>
      </c>
      <c r="F70" t="s">
        <v>148</v>
      </c>
      <c r="G70">
        <v>3.75</v>
      </c>
    </row>
    <row r="71" spans="1:7" x14ac:dyDescent="0.3">
      <c r="A71">
        <v>306</v>
      </c>
      <c r="B71" t="s">
        <v>424</v>
      </c>
      <c r="C71">
        <v>24</v>
      </c>
      <c r="D71" t="s">
        <v>39</v>
      </c>
      <c r="E71">
        <v>38</v>
      </c>
      <c r="F71" t="s">
        <v>425</v>
      </c>
      <c r="G71">
        <v>2.37</v>
      </c>
    </row>
    <row r="72" spans="1:7" x14ac:dyDescent="0.3">
      <c r="A72">
        <v>336</v>
      </c>
      <c r="B72" t="s">
        <v>452</v>
      </c>
      <c r="C72">
        <v>22</v>
      </c>
      <c r="D72" t="s">
        <v>39</v>
      </c>
      <c r="E72">
        <v>45</v>
      </c>
      <c r="F72" t="s">
        <v>453</v>
      </c>
      <c r="G72">
        <v>3.85</v>
      </c>
    </row>
    <row r="73" spans="1:7" x14ac:dyDescent="0.3">
      <c r="A73">
        <v>55</v>
      </c>
      <c r="B73" t="s">
        <v>115</v>
      </c>
      <c r="C73">
        <v>25</v>
      </c>
      <c r="D73" t="s">
        <v>39</v>
      </c>
      <c r="E73">
        <v>84</v>
      </c>
      <c r="F73" t="s">
        <v>116</v>
      </c>
      <c r="G73">
        <v>3.79</v>
      </c>
    </row>
    <row r="74" spans="1:7" x14ac:dyDescent="0.3">
      <c r="A74">
        <v>445</v>
      </c>
      <c r="B74" t="s">
        <v>115</v>
      </c>
      <c r="C74">
        <v>25</v>
      </c>
      <c r="D74" t="s">
        <v>39</v>
      </c>
      <c r="E74">
        <v>150</v>
      </c>
      <c r="F74" t="s">
        <v>202</v>
      </c>
      <c r="G74">
        <v>2.85</v>
      </c>
    </row>
    <row r="75" spans="1:7" x14ac:dyDescent="0.3">
      <c r="A75">
        <v>555</v>
      </c>
      <c r="B75" t="s">
        <v>630</v>
      </c>
      <c r="C75">
        <v>23</v>
      </c>
      <c r="D75" t="s">
        <v>39</v>
      </c>
      <c r="E75">
        <v>7</v>
      </c>
      <c r="F75" t="s">
        <v>90</v>
      </c>
      <c r="G75">
        <v>1.33</v>
      </c>
    </row>
    <row r="76" spans="1:7" x14ac:dyDescent="0.3">
      <c r="A76">
        <v>754</v>
      </c>
      <c r="B76" t="s">
        <v>630</v>
      </c>
      <c r="C76">
        <v>23</v>
      </c>
      <c r="D76" t="s">
        <v>39</v>
      </c>
      <c r="E76">
        <v>79</v>
      </c>
      <c r="F76" t="s">
        <v>467</v>
      </c>
      <c r="G76">
        <v>4.05</v>
      </c>
    </row>
    <row r="77" spans="1:7" x14ac:dyDescent="0.3">
      <c r="A77">
        <v>113</v>
      </c>
      <c r="B77" t="s">
        <v>200</v>
      </c>
      <c r="C77">
        <v>15</v>
      </c>
      <c r="D77" t="s">
        <v>39</v>
      </c>
      <c r="E77">
        <v>140</v>
      </c>
      <c r="F77" t="s">
        <v>70</v>
      </c>
      <c r="G77">
        <v>2.94</v>
      </c>
    </row>
    <row r="78" spans="1:7" x14ac:dyDescent="0.3">
      <c r="A78">
        <v>134</v>
      </c>
      <c r="B78" t="s">
        <v>200</v>
      </c>
      <c r="C78">
        <v>15</v>
      </c>
      <c r="D78" t="s">
        <v>39</v>
      </c>
      <c r="E78">
        <v>2</v>
      </c>
      <c r="F78" t="s">
        <v>229</v>
      </c>
      <c r="G78">
        <v>2.48</v>
      </c>
    </row>
    <row r="79" spans="1:7" x14ac:dyDescent="0.3">
      <c r="A79">
        <v>273</v>
      </c>
      <c r="B79" t="s">
        <v>200</v>
      </c>
      <c r="C79">
        <v>15</v>
      </c>
      <c r="D79" t="s">
        <v>39</v>
      </c>
      <c r="E79">
        <v>92</v>
      </c>
      <c r="F79" t="s">
        <v>13</v>
      </c>
      <c r="G79">
        <v>4.88</v>
      </c>
    </row>
    <row r="80" spans="1:7" x14ac:dyDescent="0.3">
      <c r="A80">
        <v>613</v>
      </c>
      <c r="B80" t="s">
        <v>665</v>
      </c>
      <c r="C80">
        <v>21</v>
      </c>
      <c r="D80" t="s">
        <v>39</v>
      </c>
      <c r="E80">
        <v>159</v>
      </c>
      <c r="F80" t="s">
        <v>327</v>
      </c>
      <c r="G80">
        <v>3.08</v>
      </c>
    </row>
    <row r="81" spans="1:7" x14ac:dyDescent="0.3">
      <c r="A81">
        <v>254</v>
      </c>
      <c r="B81" t="s">
        <v>372</v>
      </c>
      <c r="C81">
        <v>23</v>
      </c>
      <c r="D81" t="s">
        <v>39</v>
      </c>
      <c r="E81">
        <v>94</v>
      </c>
      <c r="F81" t="s">
        <v>373</v>
      </c>
      <c r="G81">
        <v>3.49</v>
      </c>
    </row>
    <row r="82" spans="1:7" x14ac:dyDescent="0.3">
      <c r="A82">
        <v>658</v>
      </c>
      <c r="B82" t="s">
        <v>691</v>
      </c>
      <c r="C82">
        <v>7</v>
      </c>
      <c r="D82" t="s">
        <v>39</v>
      </c>
      <c r="E82">
        <v>178</v>
      </c>
      <c r="F82" t="s">
        <v>60</v>
      </c>
      <c r="G82">
        <v>4.2300000000000004</v>
      </c>
    </row>
    <row r="83" spans="1:7" x14ac:dyDescent="0.3">
      <c r="A83">
        <v>38</v>
      </c>
      <c r="B83" t="s">
        <v>85</v>
      </c>
      <c r="C83">
        <v>10</v>
      </c>
      <c r="D83" t="s">
        <v>39</v>
      </c>
      <c r="E83">
        <v>116</v>
      </c>
      <c r="F83" t="s">
        <v>33</v>
      </c>
      <c r="G83">
        <v>4.18</v>
      </c>
    </row>
    <row r="84" spans="1:7" x14ac:dyDescent="0.3">
      <c r="A84">
        <v>18</v>
      </c>
      <c r="B84" t="s">
        <v>45</v>
      </c>
      <c r="C84">
        <v>22</v>
      </c>
      <c r="D84" t="s">
        <v>39</v>
      </c>
      <c r="E84">
        <v>82</v>
      </c>
      <c r="F84" t="s">
        <v>46</v>
      </c>
      <c r="G84">
        <v>4.9000000000000004</v>
      </c>
    </row>
    <row r="85" spans="1:7" x14ac:dyDescent="0.3">
      <c r="A85">
        <v>740</v>
      </c>
      <c r="B85" t="s">
        <v>45</v>
      </c>
      <c r="C85">
        <v>22</v>
      </c>
      <c r="D85" t="s">
        <v>39</v>
      </c>
      <c r="E85">
        <v>127</v>
      </c>
      <c r="F85" t="s">
        <v>681</v>
      </c>
      <c r="G85">
        <v>3.92</v>
      </c>
    </row>
    <row r="86" spans="1:7" x14ac:dyDescent="0.3">
      <c r="A86">
        <v>607</v>
      </c>
      <c r="B86" t="s">
        <v>662</v>
      </c>
      <c r="C86">
        <v>15</v>
      </c>
      <c r="D86" t="s">
        <v>39</v>
      </c>
      <c r="E86">
        <v>80</v>
      </c>
      <c r="F86" t="s">
        <v>119</v>
      </c>
      <c r="G86">
        <v>3.39</v>
      </c>
    </row>
    <row r="87" spans="1:7" x14ac:dyDescent="0.3">
      <c r="A87">
        <v>524</v>
      </c>
      <c r="B87" t="s">
        <v>608</v>
      </c>
      <c r="C87">
        <v>25</v>
      </c>
      <c r="D87" t="s">
        <v>39</v>
      </c>
      <c r="E87">
        <v>46</v>
      </c>
      <c r="F87" t="s">
        <v>243</v>
      </c>
      <c r="G87">
        <v>1.33</v>
      </c>
    </row>
    <row r="88" spans="1:7" x14ac:dyDescent="0.3">
      <c r="A88">
        <v>392</v>
      </c>
      <c r="B88" t="s">
        <v>505</v>
      </c>
      <c r="C88">
        <v>20</v>
      </c>
      <c r="D88" t="s">
        <v>39</v>
      </c>
      <c r="E88">
        <v>181</v>
      </c>
      <c r="F88" t="s">
        <v>97</v>
      </c>
      <c r="G88">
        <v>1.66</v>
      </c>
    </row>
    <row r="89" spans="1:7" x14ac:dyDescent="0.3">
      <c r="A89">
        <v>615</v>
      </c>
      <c r="B89" t="s">
        <v>505</v>
      </c>
      <c r="C89">
        <v>20</v>
      </c>
      <c r="D89" t="s">
        <v>39</v>
      </c>
      <c r="E89">
        <v>72</v>
      </c>
      <c r="F89" t="s">
        <v>92</v>
      </c>
      <c r="G89">
        <v>3.77</v>
      </c>
    </row>
    <row r="90" spans="1:7" x14ac:dyDescent="0.3">
      <c r="A90">
        <v>444</v>
      </c>
      <c r="B90" t="s">
        <v>546</v>
      </c>
      <c r="C90">
        <v>21</v>
      </c>
      <c r="D90" t="s">
        <v>39</v>
      </c>
      <c r="E90">
        <v>24</v>
      </c>
      <c r="F90" t="s">
        <v>54</v>
      </c>
      <c r="G90">
        <v>3.81</v>
      </c>
    </row>
    <row r="91" spans="1:7" x14ac:dyDescent="0.3">
      <c r="A91">
        <v>166</v>
      </c>
      <c r="B91" t="s">
        <v>266</v>
      </c>
      <c r="C91">
        <v>22</v>
      </c>
      <c r="D91" t="s">
        <v>39</v>
      </c>
      <c r="E91">
        <v>30</v>
      </c>
      <c r="F91" t="s">
        <v>267</v>
      </c>
      <c r="G91">
        <v>2.21</v>
      </c>
    </row>
    <row r="92" spans="1:7" x14ac:dyDescent="0.3">
      <c r="A92">
        <v>478</v>
      </c>
      <c r="B92" t="s">
        <v>266</v>
      </c>
      <c r="C92">
        <v>22</v>
      </c>
      <c r="D92" t="s">
        <v>39</v>
      </c>
      <c r="E92">
        <v>35</v>
      </c>
      <c r="F92" t="s">
        <v>411</v>
      </c>
      <c r="G92">
        <v>3.45</v>
      </c>
    </row>
    <row r="93" spans="1:7" x14ac:dyDescent="0.3">
      <c r="A93">
        <v>450</v>
      </c>
      <c r="B93" t="s">
        <v>550</v>
      </c>
      <c r="C93">
        <v>18</v>
      </c>
      <c r="D93" t="s">
        <v>39</v>
      </c>
      <c r="E93">
        <v>35</v>
      </c>
      <c r="F93" t="s">
        <v>411</v>
      </c>
      <c r="G93">
        <v>3.45</v>
      </c>
    </row>
    <row r="94" spans="1:7" x14ac:dyDescent="0.3">
      <c r="A94">
        <v>482</v>
      </c>
      <c r="B94" t="s">
        <v>579</v>
      </c>
      <c r="C94">
        <v>32</v>
      </c>
      <c r="D94" t="s">
        <v>39</v>
      </c>
      <c r="E94">
        <v>77</v>
      </c>
      <c r="F94" t="s">
        <v>296</v>
      </c>
      <c r="G94">
        <v>4</v>
      </c>
    </row>
    <row r="95" spans="1:7" x14ac:dyDescent="0.3">
      <c r="A95">
        <v>296</v>
      </c>
      <c r="B95" t="s">
        <v>416</v>
      </c>
      <c r="C95">
        <v>22</v>
      </c>
      <c r="D95" t="s">
        <v>39</v>
      </c>
      <c r="E95">
        <v>65</v>
      </c>
      <c r="F95" t="s">
        <v>262</v>
      </c>
      <c r="G95">
        <v>4.24</v>
      </c>
    </row>
    <row r="96" spans="1:7" x14ac:dyDescent="0.3">
      <c r="A96">
        <v>177</v>
      </c>
      <c r="B96" t="s">
        <v>282</v>
      </c>
      <c r="C96">
        <v>30</v>
      </c>
      <c r="D96" t="s">
        <v>39</v>
      </c>
      <c r="E96">
        <v>135</v>
      </c>
      <c r="F96" t="s">
        <v>283</v>
      </c>
      <c r="G96">
        <v>1.4</v>
      </c>
    </row>
    <row r="97" spans="1:7" x14ac:dyDescent="0.3">
      <c r="A97">
        <v>233</v>
      </c>
      <c r="B97" t="s">
        <v>346</v>
      </c>
      <c r="C97">
        <v>19</v>
      </c>
      <c r="D97" t="s">
        <v>39</v>
      </c>
      <c r="E97">
        <v>66</v>
      </c>
      <c r="F97" t="s">
        <v>347</v>
      </c>
      <c r="G97">
        <v>4.4000000000000004</v>
      </c>
    </row>
    <row r="98" spans="1:7" x14ac:dyDescent="0.3">
      <c r="A98">
        <v>697</v>
      </c>
      <c r="B98" t="s">
        <v>714</v>
      </c>
      <c r="C98">
        <v>19</v>
      </c>
      <c r="D98" t="s">
        <v>39</v>
      </c>
      <c r="E98">
        <v>1</v>
      </c>
      <c r="F98" t="s">
        <v>212</v>
      </c>
      <c r="G98">
        <v>3.26</v>
      </c>
    </row>
    <row r="99" spans="1:7" x14ac:dyDescent="0.3">
      <c r="A99">
        <v>699</v>
      </c>
      <c r="B99" t="s">
        <v>716</v>
      </c>
      <c r="C99">
        <v>17</v>
      </c>
      <c r="D99" t="s">
        <v>39</v>
      </c>
      <c r="E99">
        <v>130</v>
      </c>
      <c r="F99" t="s">
        <v>704</v>
      </c>
      <c r="G99">
        <v>2.0699999999999998</v>
      </c>
    </row>
    <row r="100" spans="1:7" x14ac:dyDescent="0.3">
      <c r="A100">
        <v>225</v>
      </c>
      <c r="B100" t="s">
        <v>339</v>
      </c>
      <c r="C100">
        <v>24</v>
      </c>
      <c r="D100" t="s">
        <v>39</v>
      </c>
      <c r="E100">
        <v>154</v>
      </c>
      <c r="F100" t="s">
        <v>290</v>
      </c>
      <c r="G100">
        <v>4.4000000000000004</v>
      </c>
    </row>
    <row r="101" spans="1:7" x14ac:dyDescent="0.3">
      <c r="A101">
        <v>267</v>
      </c>
      <c r="B101" t="s">
        <v>383</v>
      </c>
      <c r="C101">
        <v>16</v>
      </c>
      <c r="D101" t="s">
        <v>39</v>
      </c>
      <c r="E101">
        <v>41</v>
      </c>
      <c r="F101" t="s">
        <v>198</v>
      </c>
      <c r="G101">
        <v>4.75</v>
      </c>
    </row>
    <row r="102" spans="1:7" x14ac:dyDescent="0.3">
      <c r="A102">
        <v>276</v>
      </c>
      <c r="B102" t="s">
        <v>383</v>
      </c>
      <c r="C102">
        <v>16</v>
      </c>
      <c r="D102" t="s">
        <v>39</v>
      </c>
      <c r="E102">
        <v>9</v>
      </c>
      <c r="F102" t="s">
        <v>95</v>
      </c>
      <c r="G102">
        <v>2.73</v>
      </c>
    </row>
    <row r="103" spans="1:7" x14ac:dyDescent="0.3">
      <c r="A103">
        <v>714</v>
      </c>
      <c r="B103" t="s">
        <v>383</v>
      </c>
      <c r="C103">
        <v>16</v>
      </c>
      <c r="D103" t="s">
        <v>39</v>
      </c>
      <c r="E103">
        <v>103</v>
      </c>
      <c r="F103" t="s">
        <v>280</v>
      </c>
      <c r="G103">
        <v>4.3499999999999996</v>
      </c>
    </row>
    <row r="104" spans="1:7" x14ac:dyDescent="0.3">
      <c r="A104">
        <v>317</v>
      </c>
      <c r="B104" t="s">
        <v>434</v>
      </c>
      <c r="C104">
        <v>18</v>
      </c>
      <c r="D104" t="s">
        <v>39</v>
      </c>
      <c r="E104">
        <v>3</v>
      </c>
      <c r="F104" t="s">
        <v>259</v>
      </c>
      <c r="G104">
        <v>2.4900000000000002</v>
      </c>
    </row>
    <row r="105" spans="1:7" x14ac:dyDescent="0.3">
      <c r="A105">
        <v>85</v>
      </c>
      <c r="B105" t="s">
        <v>160</v>
      </c>
      <c r="C105">
        <v>32</v>
      </c>
      <c r="D105" t="s">
        <v>39</v>
      </c>
      <c r="E105">
        <v>33</v>
      </c>
      <c r="F105" t="s">
        <v>161</v>
      </c>
      <c r="G105">
        <v>1.1599999999999999</v>
      </c>
    </row>
    <row r="106" spans="1:7" x14ac:dyDescent="0.3">
      <c r="A106">
        <v>210</v>
      </c>
      <c r="B106" t="s">
        <v>160</v>
      </c>
      <c r="C106">
        <v>32</v>
      </c>
      <c r="D106" t="s">
        <v>39</v>
      </c>
      <c r="E106">
        <v>136</v>
      </c>
      <c r="F106" t="s">
        <v>28</v>
      </c>
      <c r="G106">
        <v>3.58</v>
      </c>
    </row>
    <row r="107" spans="1:7" x14ac:dyDescent="0.3">
      <c r="A107">
        <v>436</v>
      </c>
      <c r="B107" t="s">
        <v>160</v>
      </c>
      <c r="C107">
        <v>32</v>
      </c>
      <c r="D107" t="s">
        <v>39</v>
      </c>
      <c r="E107">
        <v>80</v>
      </c>
      <c r="F107" t="s">
        <v>119</v>
      </c>
      <c r="G107">
        <v>3.39</v>
      </c>
    </row>
    <row r="108" spans="1:7" x14ac:dyDescent="0.3">
      <c r="A108">
        <v>283</v>
      </c>
      <c r="B108" t="s">
        <v>400</v>
      </c>
      <c r="C108">
        <v>21</v>
      </c>
      <c r="D108" t="s">
        <v>39</v>
      </c>
      <c r="E108">
        <v>9</v>
      </c>
      <c r="F108" t="s">
        <v>95</v>
      </c>
      <c r="G108">
        <v>2.73</v>
      </c>
    </row>
    <row r="109" spans="1:7" x14ac:dyDescent="0.3">
      <c r="A109">
        <v>280</v>
      </c>
      <c r="B109" t="s">
        <v>396</v>
      </c>
      <c r="C109">
        <v>20</v>
      </c>
      <c r="D109" t="s">
        <v>39</v>
      </c>
      <c r="E109">
        <v>16</v>
      </c>
      <c r="F109" t="s">
        <v>354</v>
      </c>
      <c r="G109">
        <v>3.55</v>
      </c>
    </row>
    <row r="110" spans="1:7" x14ac:dyDescent="0.3">
      <c r="A110">
        <v>698</v>
      </c>
      <c r="B110" t="s">
        <v>715</v>
      </c>
      <c r="C110">
        <v>30</v>
      </c>
      <c r="D110" t="s">
        <v>39</v>
      </c>
      <c r="E110">
        <v>58</v>
      </c>
      <c r="F110" t="s">
        <v>221</v>
      </c>
      <c r="G110">
        <v>4.1399999999999997</v>
      </c>
    </row>
    <row r="111" spans="1:7" x14ac:dyDescent="0.3">
      <c r="A111">
        <v>125</v>
      </c>
      <c r="B111" t="s">
        <v>216</v>
      </c>
      <c r="C111">
        <v>20</v>
      </c>
      <c r="D111" t="s">
        <v>39</v>
      </c>
      <c r="E111">
        <v>62</v>
      </c>
      <c r="F111" t="s">
        <v>217</v>
      </c>
      <c r="G111">
        <v>1.87</v>
      </c>
    </row>
    <row r="112" spans="1:7" x14ac:dyDescent="0.3">
      <c r="A112">
        <v>548</v>
      </c>
      <c r="B112" t="s">
        <v>216</v>
      </c>
      <c r="C112">
        <v>20</v>
      </c>
      <c r="D112" t="s">
        <v>39</v>
      </c>
      <c r="E112">
        <v>75</v>
      </c>
      <c r="F112" t="s">
        <v>218</v>
      </c>
      <c r="G112">
        <v>2.42</v>
      </c>
    </row>
    <row r="113" spans="1:7" x14ac:dyDescent="0.3">
      <c r="A113">
        <v>727</v>
      </c>
      <c r="B113" t="s">
        <v>216</v>
      </c>
      <c r="C113">
        <v>20</v>
      </c>
      <c r="D113" t="s">
        <v>39</v>
      </c>
      <c r="E113">
        <v>104</v>
      </c>
      <c r="F113" t="s">
        <v>734</v>
      </c>
      <c r="G113">
        <v>1.93</v>
      </c>
    </row>
    <row r="114" spans="1:7" x14ac:dyDescent="0.3">
      <c r="A114">
        <v>572</v>
      </c>
      <c r="B114" t="s">
        <v>640</v>
      </c>
      <c r="C114">
        <v>17</v>
      </c>
      <c r="D114" t="s">
        <v>39</v>
      </c>
      <c r="E114">
        <v>145</v>
      </c>
      <c r="F114" t="s">
        <v>227</v>
      </c>
      <c r="G114">
        <v>4.58</v>
      </c>
    </row>
    <row r="115" spans="1:7" x14ac:dyDescent="0.3">
      <c r="A115">
        <v>467</v>
      </c>
      <c r="B115" t="s">
        <v>567</v>
      </c>
      <c r="C115">
        <v>16</v>
      </c>
      <c r="D115" t="s">
        <v>8</v>
      </c>
      <c r="E115">
        <v>123</v>
      </c>
      <c r="F115" t="s">
        <v>271</v>
      </c>
      <c r="G115">
        <v>2.2799999999999998</v>
      </c>
    </row>
    <row r="116" spans="1:7" x14ac:dyDescent="0.3">
      <c r="A116">
        <v>388</v>
      </c>
      <c r="B116" t="s">
        <v>501</v>
      </c>
      <c r="C116">
        <v>17</v>
      </c>
      <c r="D116" t="s">
        <v>8</v>
      </c>
      <c r="E116">
        <v>128</v>
      </c>
      <c r="F116" t="s">
        <v>402</v>
      </c>
      <c r="G116">
        <v>4.91</v>
      </c>
    </row>
    <row r="117" spans="1:7" x14ac:dyDescent="0.3">
      <c r="A117">
        <v>28</v>
      </c>
      <c r="B117" t="s">
        <v>65</v>
      </c>
      <c r="C117">
        <v>21</v>
      </c>
      <c r="D117" t="s">
        <v>8</v>
      </c>
      <c r="E117">
        <v>119</v>
      </c>
      <c r="F117" t="s">
        <v>66</v>
      </c>
      <c r="G117">
        <v>4.32</v>
      </c>
    </row>
    <row r="118" spans="1:7" x14ac:dyDescent="0.3">
      <c r="A118">
        <v>630</v>
      </c>
      <c r="B118" t="s">
        <v>672</v>
      </c>
      <c r="C118">
        <v>23</v>
      </c>
      <c r="D118" t="s">
        <v>8</v>
      </c>
      <c r="E118">
        <v>171</v>
      </c>
      <c r="F118" t="s">
        <v>413</v>
      </c>
      <c r="G118">
        <v>1.79</v>
      </c>
    </row>
    <row r="119" spans="1:7" x14ac:dyDescent="0.3">
      <c r="A119">
        <v>218</v>
      </c>
      <c r="B119" t="s">
        <v>333</v>
      </c>
      <c r="C119">
        <v>23</v>
      </c>
      <c r="D119" t="s">
        <v>8</v>
      </c>
      <c r="E119">
        <v>76</v>
      </c>
      <c r="F119" t="s">
        <v>82</v>
      </c>
      <c r="G119">
        <v>3.15</v>
      </c>
    </row>
    <row r="120" spans="1:7" x14ac:dyDescent="0.3">
      <c r="A120">
        <v>766</v>
      </c>
      <c r="B120" t="s">
        <v>333</v>
      </c>
      <c r="C120">
        <v>23</v>
      </c>
      <c r="D120" t="s">
        <v>8</v>
      </c>
      <c r="E120">
        <v>58</v>
      </c>
      <c r="F120" t="s">
        <v>221</v>
      </c>
      <c r="G120">
        <v>4.1399999999999997</v>
      </c>
    </row>
    <row r="121" spans="1:7" x14ac:dyDescent="0.3">
      <c r="A121">
        <v>705</v>
      </c>
      <c r="B121" t="s">
        <v>722</v>
      </c>
      <c r="C121">
        <v>22</v>
      </c>
      <c r="D121" t="s">
        <v>8</v>
      </c>
      <c r="E121">
        <v>183</v>
      </c>
      <c r="F121" t="s">
        <v>265</v>
      </c>
      <c r="G121">
        <v>1.0900000000000001</v>
      </c>
    </row>
    <row r="122" spans="1:7" x14ac:dyDescent="0.3">
      <c r="A122">
        <v>52</v>
      </c>
      <c r="B122" t="s">
        <v>109</v>
      </c>
      <c r="C122">
        <v>20</v>
      </c>
      <c r="D122" t="s">
        <v>8</v>
      </c>
      <c r="E122">
        <v>60</v>
      </c>
      <c r="F122" t="s">
        <v>110</v>
      </c>
      <c r="G122">
        <v>3.54</v>
      </c>
    </row>
    <row r="123" spans="1:7" x14ac:dyDescent="0.3">
      <c r="A123">
        <v>87</v>
      </c>
      <c r="B123" t="s">
        <v>109</v>
      </c>
      <c r="C123">
        <v>20</v>
      </c>
      <c r="D123" t="s">
        <v>8</v>
      </c>
      <c r="E123">
        <v>151</v>
      </c>
      <c r="F123" t="s">
        <v>56</v>
      </c>
      <c r="G123">
        <v>3.4</v>
      </c>
    </row>
    <row r="124" spans="1:7" x14ac:dyDescent="0.3">
      <c r="A124">
        <v>584</v>
      </c>
      <c r="B124" t="s">
        <v>109</v>
      </c>
      <c r="C124">
        <v>20</v>
      </c>
      <c r="D124" t="s">
        <v>8</v>
      </c>
      <c r="E124">
        <v>115</v>
      </c>
      <c r="F124" t="s">
        <v>647</v>
      </c>
      <c r="G124">
        <v>2.04</v>
      </c>
    </row>
    <row r="125" spans="1:7" x14ac:dyDescent="0.3">
      <c r="A125">
        <v>43</v>
      </c>
      <c r="B125" t="s">
        <v>93</v>
      </c>
      <c r="C125">
        <v>24</v>
      </c>
      <c r="D125" t="s">
        <v>8</v>
      </c>
      <c r="E125">
        <v>116</v>
      </c>
      <c r="F125" t="s">
        <v>33</v>
      </c>
      <c r="G125">
        <v>4.18</v>
      </c>
    </row>
    <row r="126" spans="1:7" x14ac:dyDescent="0.3">
      <c r="A126">
        <v>428</v>
      </c>
      <c r="B126" t="s">
        <v>93</v>
      </c>
      <c r="C126">
        <v>24</v>
      </c>
      <c r="D126" t="s">
        <v>8</v>
      </c>
      <c r="E126">
        <v>14</v>
      </c>
      <c r="F126" t="s">
        <v>476</v>
      </c>
      <c r="G126">
        <v>2.61</v>
      </c>
    </row>
    <row r="127" spans="1:7" x14ac:dyDescent="0.3">
      <c r="A127">
        <v>286</v>
      </c>
      <c r="B127" t="s">
        <v>404</v>
      </c>
      <c r="C127">
        <v>25</v>
      </c>
      <c r="D127" t="s">
        <v>8</v>
      </c>
      <c r="E127">
        <v>153</v>
      </c>
      <c r="F127" t="s">
        <v>312</v>
      </c>
      <c r="G127">
        <v>3.74</v>
      </c>
    </row>
    <row r="128" spans="1:7" x14ac:dyDescent="0.3">
      <c r="A128">
        <v>746</v>
      </c>
      <c r="B128" t="s">
        <v>748</v>
      </c>
      <c r="C128">
        <v>23</v>
      </c>
      <c r="D128" t="s">
        <v>8</v>
      </c>
      <c r="E128">
        <v>159</v>
      </c>
      <c r="F128" t="s">
        <v>327</v>
      </c>
      <c r="G128">
        <v>3.08</v>
      </c>
    </row>
    <row r="129" spans="1:7" x14ac:dyDescent="0.3">
      <c r="A129">
        <v>203</v>
      </c>
      <c r="B129" t="s">
        <v>318</v>
      </c>
      <c r="C129">
        <v>33</v>
      </c>
      <c r="D129" t="s">
        <v>8</v>
      </c>
      <c r="E129">
        <v>3</v>
      </c>
      <c r="F129" t="s">
        <v>259</v>
      </c>
      <c r="G129">
        <v>2.4900000000000002</v>
      </c>
    </row>
    <row r="130" spans="1:7" x14ac:dyDescent="0.3">
      <c r="A130">
        <v>431</v>
      </c>
      <c r="B130" t="s">
        <v>318</v>
      </c>
      <c r="C130">
        <v>33</v>
      </c>
      <c r="D130" t="s">
        <v>8</v>
      </c>
      <c r="E130">
        <v>172</v>
      </c>
      <c r="F130" t="s">
        <v>87</v>
      </c>
      <c r="G130">
        <v>3.14</v>
      </c>
    </row>
    <row r="131" spans="1:7" x14ac:dyDescent="0.3">
      <c r="A131">
        <v>183</v>
      </c>
      <c r="B131" t="s">
        <v>291</v>
      </c>
      <c r="C131">
        <v>21</v>
      </c>
      <c r="D131" t="s">
        <v>8</v>
      </c>
      <c r="E131">
        <v>15</v>
      </c>
      <c r="F131" t="s">
        <v>108</v>
      </c>
      <c r="G131">
        <v>2.96</v>
      </c>
    </row>
    <row r="132" spans="1:7" x14ac:dyDescent="0.3">
      <c r="A132">
        <v>263</v>
      </c>
      <c r="B132" t="s">
        <v>381</v>
      </c>
      <c r="C132">
        <v>24</v>
      </c>
      <c r="D132" t="s">
        <v>8</v>
      </c>
      <c r="E132">
        <v>78</v>
      </c>
      <c r="F132" t="s">
        <v>208</v>
      </c>
      <c r="G132">
        <v>4.4000000000000004</v>
      </c>
    </row>
    <row r="133" spans="1:7" x14ac:dyDescent="0.3">
      <c r="A133">
        <v>674</v>
      </c>
      <c r="B133" t="s">
        <v>705</v>
      </c>
      <c r="C133">
        <v>43</v>
      </c>
      <c r="D133" t="s">
        <v>8</v>
      </c>
      <c r="E133">
        <v>77</v>
      </c>
      <c r="F133" t="s">
        <v>296</v>
      </c>
      <c r="G133">
        <v>4</v>
      </c>
    </row>
    <row r="134" spans="1:7" x14ac:dyDescent="0.3">
      <c r="A134">
        <v>167</v>
      </c>
      <c r="B134" t="s">
        <v>268</v>
      </c>
      <c r="C134">
        <v>23</v>
      </c>
      <c r="D134" t="s">
        <v>8</v>
      </c>
      <c r="E134">
        <v>157</v>
      </c>
      <c r="F134" t="s">
        <v>269</v>
      </c>
      <c r="G134">
        <v>4.8</v>
      </c>
    </row>
    <row r="135" spans="1:7" x14ac:dyDescent="0.3">
      <c r="A135">
        <v>32</v>
      </c>
      <c r="B135" t="s">
        <v>73</v>
      </c>
      <c r="C135">
        <v>10</v>
      </c>
      <c r="D135" t="s">
        <v>8</v>
      </c>
      <c r="E135">
        <v>133</v>
      </c>
      <c r="F135" t="s">
        <v>74</v>
      </c>
      <c r="G135">
        <v>4.09</v>
      </c>
    </row>
    <row r="136" spans="1:7" x14ac:dyDescent="0.3">
      <c r="A136">
        <v>583</v>
      </c>
      <c r="B136" t="s">
        <v>646</v>
      </c>
      <c r="C136">
        <v>20</v>
      </c>
      <c r="D136" t="s">
        <v>8</v>
      </c>
      <c r="E136">
        <v>49</v>
      </c>
      <c r="F136" t="s">
        <v>460</v>
      </c>
      <c r="G136">
        <v>2.96</v>
      </c>
    </row>
    <row r="137" spans="1:7" x14ac:dyDescent="0.3">
      <c r="A137">
        <v>303</v>
      </c>
      <c r="B137" t="s">
        <v>422</v>
      </c>
      <c r="C137">
        <v>24</v>
      </c>
      <c r="D137" t="s">
        <v>8</v>
      </c>
      <c r="E137">
        <v>71</v>
      </c>
      <c r="F137" t="s">
        <v>62</v>
      </c>
      <c r="G137">
        <v>1.61</v>
      </c>
    </row>
    <row r="138" spans="1:7" x14ac:dyDescent="0.3">
      <c r="A138">
        <v>381</v>
      </c>
      <c r="B138" t="s">
        <v>494</v>
      </c>
      <c r="C138">
        <v>16</v>
      </c>
      <c r="D138" t="s">
        <v>8</v>
      </c>
      <c r="E138">
        <v>83</v>
      </c>
      <c r="F138" t="s">
        <v>363</v>
      </c>
      <c r="G138">
        <v>3.33</v>
      </c>
    </row>
    <row r="139" spans="1:7" x14ac:dyDescent="0.3">
      <c r="A139">
        <v>324</v>
      </c>
      <c r="B139" t="s">
        <v>440</v>
      </c>
      <c r="C139">
        <v>15</v>
      </c>
      <c r="D139" t="s">
        <v>8</v>
      </c>
      <c r="E139">
        <v>154</v>
      </c>
      <c r="F139" t="s">
        <v>290</v>
      </c>
      <c r="G139">
        <v>4.4000000000000004</v>
      </c>
    </row>
    <row r="140" spans="1:7" x14ac:dyDescent="0.3">
      <c r="A140">
        <v>517</v>
      </c>
      <c r="B140" t="s">
        <v>604</v>
      </c>
      <c r="C140">
        <v>39</v>
      </c>
      <c r="D140" t="s">
        <v>8</v>
      </c>
      <c r="E140">
        <v>128</v>
      </c>
      <c r="F140" t="s">
        <v>402</v>
      </c>
      <c r="G140">
        <v>4.91</v>
      </c>
    </row>
    <row r="141" spans="1:7" x14ac:dyDescent="0.3">
      <c r="A141">
        <v>40</v>
      </c>
      <c r="B141" t="s">
        <v>88</v>
      </c>
      <c r="C141">
        <v>20</v>
      </c>
      <c r="D141" t="s">
        <v>8</v>
      </c>
      <c r="E141">
        <v>143</v>
      </c>
      <c r="F141" t="s">
        <v>11</v>
      </c>
      <c r="G141">
        <v>1.56</v>
      </c>
    </row>
    <row r="142" spans="1:7" x14ac:dyDescent="0.3">
      <c r="A142">
        <v>236</v>
      </c>
      <c r="B142" t="s">
        <v>351</v>
      </c>
      <c r="C142">
        <v>16</v>
      </c>
      <c r="D142" t="s">
        <v>8</v>
      </c>
      <c r="E142">
        <v>107</v>
      </c>
      <c r="F142" t="s">
        <v>352</v>
      </c>
      <c r="G142">
        <v>2.1800000000000002</v>
      </c>
    </row>
    <row r="143" spans="1:7" x14ac:dyDescent="0.3">
      <c r="A143">
        <v>541</v>
      </c>
      <c r="B143" t="s">
        <v>621</v>
      </c>
      <c r="C143">
        <v>31</v>
      </c>
      <c r="D143" t="s">
        <v>8</v>
      </c>
      <c r="E143">
        <v>161</v>
      </c>
      <c r="F143" t="s">
        <v>44</v>
      </c>
      <c r="G143">
        <v>1.76</v>
      </c>
    </row>
    <row r="144" spans="1:7" x14ac:dyDescent="0.3">
      <c r="A144">
        <v>124</v>
      </c>
      <c r="B144" t="s">
        <v>215</v>
      </c>
      <c r="C144">
        <v>21</v>
      </c>
      <c r="D144" t="s">
        <v>8</v>
      </c>
      <c r="E144">
        <v>150</v>
      </c>
      <c r="F144" t="s">
        <v>202</v>
      </c>
      <c r="G144">
        <v>2.85</v>
      </c>
    </row>
    <row r="145" spans="1:7" x14ac:dyDescent="0.3">
      <c r="A145">
        <v>253</v>
      </c>
      <c r="B145" t="s">
        <v>215</v>
      </c>
      <c r="C145">
        <v>21</v>
      </c>
      <c r="D145" t="s">
        <v>8</v>
      </c>
      <c r="E145">
        <v>28</v>
      </c>
      <c r="F145" t="s">
        <v>371</v>
      </c>
      <c r="G145">
        <v>1.06</v>
      </c>
    </row>
    <row r="146" spans="1:7" x14ac:dyDescent="0.3">
      <c r="A146">
        <v>309</v>
      </c>
      <c r="B146" t="s">
        <v>428</v>
      </c>
      <c r="C146">
        <v>25</v>
      </c>
      <c r="D146" t="s">
        <v>8</v>
      </c>
      <c r="E146">
        <v>170</v>
      </c>
      <c r="F146" t="s">
        <v>101</v>
      </c>
      <c r="G146">
        <v>3.97</v>
      </c>
    </row>
    <row r="147" spans="1:7" x14ac:dyDescent="0.3">
      <c r="A147">
        <v>416</v>
      </c>
      <c r="B147" t="s">
        <v>428</v>
      </c>
      <c r="C147">
        <v>25</v>
      </c>
      <c r="D147" t="s">
        <v>8</v>
      </c>
      <c r="E147">
        <v>13</v>
      </c>
      <c r="F147" t="s">
        <v>204</v>
      </c>
      <c r="G147">
        <v>1.41</v>
      </c>
    </row>
    <row r="148" spans="1:7" x14ac:dyDescent="0.3">
      <c r="A148">
        <v>468</v>
      </c>
      <c r="B148" t="s">
        <v>568</v>
      </c>
      <c r="C148">
        <v>23</v>
      </c>
      <c r="D148" t="s">
        <v>8</v>
      </c>
      <c r="E148">
        <v>30</v>
      </c>
      <c r="F148" t="s">
        <v>267</v>
      </c>
      <c r="G148">
        <v>2.21</v>
      </c>
    </row>
    <row r="149" spans="1:7" x14ac:dyDescent="0.3">
      <c r="A149">
        <v>405</v>
      </c>
      <c r="B149" t="s">
        <v>516</v>
      </c>
      <c r="C149">
        <v>25</v>
      </c>
      <c r="D149" t="s">
        <v>8</v>
      </c>
      <c r="E149">
        <v>70</v>
      </c>
      <c r="F149" t="s">
        <v>379</v>
      </c>
      <c r="G149">
        <v>1.03</v>
      </c>
    </row>
    <row r="150" spans="1:7" x14ac:dyDescent="0.3">
      <c r="A150">
        <v>219</v>
      </c>
      <c r="B150" t="s">
        <v>334</v>
      </c>
      <c r="C150">
        <v>19</v>
      </c>
      <c r="D150" t="s">
        <v>8</v>
      </c>
      <c r="E150">
        <v>57</v>
      </c>
      <c r="F150" t="s">
        <v>50</v>
      </c>
      <c r="G150">
        <v>4.5999999999999996</v>
      </c>
    </row>
    <row r="151" spans="1:7" x14ac:dyDescent="0.3">
      <c r="A151">
        <v>282</v>
      </c>
      <c r="B151" t="s">
        <v>398</v>
      </c>
      <c r="C151">
        <v>21</v>
      </c>
      <c r="D151" t="s">
        <v>8</v>
      </c>
      <c r="E151">
        <v>155</v>
      </c>
      <c r="F151" t="s">
        <v>399</v>
      </c>
      <c r="G151">
        <v>1.01</v>
      </c>
    </row>
    <row r="152" spans="1:7" x14ac:dyDescent="0.3">
      <c r="A152">
        <v>720</v>
      </c>
      <c r="B152" t="s">
        <v>730</v>
      </c>
      <c r="C152">
        <v>19</v>
      </c>
      <c r="D152" t="s">
        <v>8</v>
      </c>
      <c r="E152">
        <v>159</v>
      </c>
      <c r="F152" t="s">
        <v>327</v>
      </c>
      <c r="G152">
        <v>3.08</v>
      </c>
    </row>
    <row r="153" spans="1:7" x14ac:dyDescent="0.3">
      <c r="A153">
        <v>42</v>
      </c>
      <c r="B153" t="s">
        <v>91</v>
      </c>
      <c r="C153">
        <v>18</v>
      </c>
      <c r="D153" t="s">
        <v>8</v>
      </c>
      <c r="E153">
        <v>72</v>
      </c>
      <c r="F153" t="s">
        <v>92</v>
      </c>
      <c r="G153">
        <v>3.77</v>
      </c>
    </row>
    <row r="154" spans="1:7" x14ac:dyDescent="0.3">
      <c r="A154">
        <v>146</v>
      </c>
      <c r="B154" t="s">
        <v>91</v>
      </c>
      <c r="C154">
        <v>18</v>
      </c>
      <c r="D154" t="s">
        <v>8</v>
      </c>
      <c r="E154">
        <v>133</v>
      </c>
      <c r="F154" t="s">
        <v>74</v>
      </c>
      <c r="G154">
        <v>4.09</v>
      </c>
    </row>
    <row r="155" spans="1:7" x14ac:dyDescent="0.3">
      <c r="A155">
        <v>730</v>
      </c>
      <c r="B155" t="s">
        <v>737</v>
      </c>
      <c r="C155">
        <v>30</v>
      </c>
      <c r="D155" t="s">
        <v>8</v>
      </c>
      <c r="E155">
        <v>178</v>
      </c>
      <c r="F155" t="s">
        <v>60</v>
      </c>
      <c r="G155">
        <v>4.2300000000000004</v>
      </c>
    </row>
    <row r="156" spans="1:7" x14ac:dyDescent="0.3">
      <c r="A156">
        <v>97</v>
      </c>
      <c r="B156" t="s">
        <v>177</v>
      </c>
      <c r="C156">
        <v>20</v>
      </c>
      <c r="D156" t="s">
        <v>8</v>
      </c>
      <c r="E156">
        <v>134</v>
      </c>
      <c r="F156" t="s">
        <v>178</v>
      </c>
      <c r="G156">
        <v>4.5</v>
      </c>
    </row>
    <row r="157" spans="1:7" x14ac:dyDescent="0.3">
      <c r="A157">
        <v>670</v>
      </c>
      <c r="B157" t="s">
        <v>177</v>
      </c>
      <c r="C157">
        <v>20</v>
      </c>
      <c r="D157" t="s">
        <v>8</v>
      </c>
      <c r="E157">
        <v>120</v>
      </c>
      <c r="F157" t="s">
        <v>225</v>
      </c>
      <c r="G157">
        <v>3.08</v>
      </c>
    </row>
    <row r="158" spans="1:7" x14ac:dyDescent="0.3">
      <c r="A158">
        <v>523</v>
      </c>
      <c r="B158" t="s">
        <v>607</v>
      </c>
      <c r="C158">
        <v>24</v>
      </c>
      <c r="D158" t="s">
        <v>8</v>
      </c>
      <c r="E158">
        <v>21</v>
      </c>
      <c r="F158" t="s">
        <v>25</v>
      </c>
      <c r="G158">
        <v>1.1000000000000001</v>
      </c>
    </row>
    <row r="159" spans="1:7" x14ac:dyDescent="0.3">
      <c r="A159">
        <v>83</v>
      </c>
      <c r="B159" t="s">
        <v>157</v>
      </c>
      <c r="C159">
        <v>25</v>
      </c>
      <c r="D159" t="s">
        <v>8</v>
      </c>
      <c r="E159">
        <v>12</v>
      </c>
      <c r="F159" t="s">
        <v>158</v>
      </c>
      <c r="G159">
        <v>1.02</v>
      </c>
    </row>
    <row r="160" spans="1:7" x14ac:dyDescent="0.3">
      <c r="A160">
        <v>363</v>
      </c>
      <c r="B160" t="s">
        <v>157</v>
      </c>
      <c r="C160">
        <v>25</v>
      </c>
      <c r="D160" t="s">
        <v>8</v>
      </c>
      <c r="E160">
        <v>45</v>
      </c>
      <c r="F160" t="s">
        <v>453</v>
      </c>
      <c r="G160">
        <v>3.85</v>
      </c>
    </row>
    <row r="161" spans="1:7" x14ac:dyDescent="0.3">
      <c r="A161">
        <v>373</v>
      </c>
      <c r="B161" t="s">
        <v>157</v>
      </c>
      <c r="C161">
        <v>25</v>
      </c>
      <c r="D161" t="s">
        <v>8</v>
      </c>
      <c r="E161">
        <v>103</v>
      </c>
      <c r="F161" t="s">
        <v>280</v>
      </c>
      <c r="G161">
        <v>4.3499999999999996</v>
      </c>
    </row>
    <row r="162" spans="1:7" x14ac:dyDescent="0.3">
      <c r="A162">
        <v>94</v>
      </c>
      <c r="B162" t="s">
        <v>173</v>
      </c>
      <c r="C162">
        <v>19</v>
      </c>
      <c r="D162" t="s">
        <v>8</v>
      </c>
      <c r="E162">
        <v>96</v>
      </c>
      <c r="F162" t="s">
        <v>64</v>
      </c>
      <c r="G162">
        <v>3.09</v>
      </c>
    </row>
    <row r="163" spans="1:7" x14ac:dyDescent="0.3">
      <c r="A163">
        <v>184</v>
      </c>
      <c r="B163" t="s">
        <v>292</v>
      </c>
      <c r="C163">
        <v>28</v>
      </c>
      <c r="D163" t="s">
        <v>8</v>
      </c>
      <c r="E163">
        <v>32</v>
      </c>
      <c r="F163" t="s">
        <v>293</v>
      </c>
      <c r="G163">
        <v>1.1399999999999999</v>
      </c>
    </row>
    <row r="164" spans="1:7" x14ac:dyDescent="0.3">
      <c r="A164">
        <v>423</v>
      </c>
      <c r="B164" t="s">
        <v>529</v>
      </c>
      <c r="C164">
        <v>24</v>
      </c>
      <c r="D164" t="s">
        <v>8</v>
      </c>
      <c r="E164">
        <v>10</v>
      </c>
      <c r="F164" t="s">
        <v>187</v>
      </c>
      <c r="G164">
        <v>1.79</v>
      </c>
    </row>
    <row r="165" spans="1:7" x14ac:dyDescent="0.3">
      <c r="A165">
        <v>703</v>
      </c>
      <c r="B165" t="s">
        <v>720</v>
      </c>
      <c r="C165">
        <v>21</v>
      </c>
      <c r="D165" t="s">
        <v>8</v>
      </c>
      <c r="E165">
        <v>160</v>
      </c>
      <c r="F165" t="s">
        <v>78</v>
      </c>
      <c r="G165">
        <v>4.4000000000000004</v>
      </c>
    </row>
    <row r="166" spans="1:7" x14ac:dyDescent="0.3">
      <c r="A166">
        <v>760</v>
      </c>
      <c r="B166" t="s">
        <v>720</v>
      </c>
      <c r="C166">
        <v>21</v>
      </c>
      <c r="D166" t="s">
        <v>8</v>
      </c>
      <c r="E166">
        <v>44</v>
      </c>
      <c r="F166" t="s">
        <v>76</v>
      </c>
      <c r="G166">
        <v>2.38</v>
      </c>
    </row>
    <row r="167" spans="1:7" x14ac:dyDescent="0.3">
      <c r="A167">
        <v>295</v>
      </c>
      <c r="B167" t="s">
        <v>414</v>
      </c>
      <c r="C167">
        <v>23</v>
      </c>
      <c r="D167" t="s">
        <v>8</v>
      </c>
      <c r="E167">
        <v>52</v>
      </c>
      <c r="F167" t="s">
        <v>415</v>
      </c>
      <c r="G167">
        <v>4.84</v>
      </c>
    </row>
    <row r="168" spans="1:7" x14ac:dyDescent="0.3">
      <c r="A168">
        <v>494</v>
      </c>
      <c r="B168" t="s">
        <v>588</v>
      </c>
      <c r="C168">
        <v>30</v>
      </c>
      <c r="D168" t="s">
        <v>8</v>
      </c>
      <c r="E168">
        <v>3</v>
      </c>
      <c r="F168" t="s">
        <v>259</v>
      </c>
      <c r="G168">
        <v>2.4900000000000002</v>
      </c>
    </row>
    <row r="169" spans="1:7" x14ac:dyDescent="0.3">
      <c r="A169">
        <v>285</v>
      </c>
      <c r="B169" t="s">
        <v>403</v>
      </c>
      <c r="C169">
        <v>26</v>
      </c>
      <c r="D169" t="s">
        <v>8</v>
      </c>
      <c r="E169">
        <v>163</v>
      </c>
      <c r="F169" t="s">
        <v>350</v>
      </c>
      <c r="G169">
        <v>3.45</v>
      </c>
    </row>
    <row r="170" spans="1:7" x14ac:dyDescent="0.3">
      <c r="A170">
        <v>391</v>
      </c>
      <c r="B170" t="s">
        <v>504</v>
      </c>
      <c r="C170">
        <v>18</v>
      </c>
      <c r="D170" t="s">
        <v>8</v>
      </c>
      <c r="E170">
        <v>20</v>
      </c>
      <c r="F170" t="s">
        <v>150</v>
      </c>
      <c r="G170">
        <v>3.27</v>
      </c>
    </row>
    <row r="171" spans="1:7" x14ac:dyDescent="0.3">
      <c r="A171">
        <v>360</v>
      </c>
      <c r="B171" t="s">
        <v>475</v>
      </c>
      <c r="C171">
        <v>29</v>
      </c>
      <c r="D171" t="s">
        <v>8</v>
      </c>
      <c r="E171">
        <v>14</v>
      </c>
      <c r="F171" t="s">
        <v>476</v>
      </c>
      <c r="G171">
        <v>2.61</v>
      </c>
    </row>
    <row r="172" spans="1:7" x14ac:dyDescent="0.3">
      <c r="A172">
        <v>635</v>
      </c>
      <c r="B172" t="s">
        <v>475</v>
      </c>
      <c r="C172">
        <v>29</v>
      </c>
      <c r="D172" t="s">
        <v>8</v>
      </c>
      <c r="E172">
        <v>4</v>
      </c>
      <c r="F172" t="s">
        <v>35</v>
      </c>
      <c r="G172">
        <v>1.7</v>
      </c>
    </row>
    <row r="173" spans="1:7" x14ac:dyDescent="0.3">
      <c r="A173">
        <v>226</v>
      </c>
      <c r="B173" t="s">
        <v>340</v>
      </c>
      <c r="C173">
        <v>25</v>
      </c>
      <c r="D173" t="s">
        <v>8</v>
      </c>
      <c r="E173">
        <v>54</v>
      </c>
      <c r="F173" t="s">
        <v>189</v>
      </c>
      <c r="G173">
        <v>2.5</v>
      </c>
    </row>
    <row r="174" spans="1:7" x14ac:dyDescent="0.3">
      <c r="A174">
        <v>63</v>
      </c>
      <c r="B174" t="s">
        <v>127</v>
      </c>
      <c r="C174">
        <v>20</v>
      </c>
      <c r="D174" t="s">
        <v>8</v>
      </c>
      <c r="E174">
        <v>125</v>
      </c>
      <c r="F174" t="s">
        <v>128</v>
      </c>
      <c r="G174">
        <v>1</v>
      </c>
    </row>
    <row r="175" spans="1:7" x14ac:dyDescent="0.3">
      <c r="A175">
        <v>272</v>
      </c>
      <c r="B175" t="s">
        <v>389</v>
      </c>
      <c r="C175">
        <v>8</v>
      </c>
      <c r="D175" t="s">
        <v>8</v>
      </c>
      <c r="E175">
        <v>133</v>
      </c>
      <c r="F175" t="s">
        <v>74</v>
      </c>
      <c r="G175">
        <v>4.09</v>
      </c>
    </row>
    <row r="176" spans="1:7" x14ac:dyDescent="0.3">
      <c r="A176">
        <v>311</v>
      </c>
      <c r="B176" t="s">
        <v>389</v>
      </c>
      <c r="C176">
        <v>8</v>
      </c>
      <c r="D176" t="s">
        <v>8</v>
      </c>
      <c r="E176">
        <v>71</v>
      </c>
      <c r="F176" t="s">
        <v>62</v>
      </c>
      <c r="G176">
        <v>1.61</v>
      </c>
    </row>
    <row r="177" spans="1:7" x14ac:dyDescent="0.3">
      <c r="A177">
        <v>398</v>
      </c>
      <c r="B177" t="s">
        <v>511</v>
      </c>
      <c r="C177">
        <v>34</v>
      </c>
      <c r="D177" t="s">
        <v>8</v>
      </c>
      <c r="E177">
        <v>96</v>
      </c>
      <c r="F177" t="s">
        <v>64</v>
      </c>
      <c r="G177">
        <v>3.09</v>
      </c>
    </row>
    <row r="178" spans="1:7" x14ac:dyDescent="0.3">
      <c r="A178">
        <v>544</v>
      </c>
      <c r="B178" t="s">
        <v>511</v>
      </c>
      <c r="C178">
        <v>34</v>
      </c>
      <c r="D178" t="s">
        <v>8</v>
      </c>
      <c r="E178">
        <v>3</v>
      </c>
      <c r="F178" t="s">
        <v>259</v>
      </c>
      <c r="G178">
        <v>2.4900000000000002</v>
      </c>
    </row>
    <row r="179" spans="1:7" x14ac:dyDescent="0.3">
      <c r="A179">
        <v>566</v>
      </c>
      <c r="B179" t="s">
        <v>636</v>
      </c>
      <c r="C179">
        <v>20</v>
      </c>
      <c r="D179" t="s">
        <v>8</v>
      </c>
      <c r="E179">
        <v>31</v>
      </c>
      <c r="F179" t="s">
        <v>482</v>
      </c>
      <c r="G179">
        <v>1.55</v>
      </c>
    </row>
    <row r="180" spans="1:7" x14ac:dyDescent="0.3">
      <c r="A180">
        <v>627</v>
      </c>
      <c r="B180" t="s">
        <v>671</v>
      </c>
      <c r="C180">
        <v>25</v>
      </c>
      <c r="D180" t="s">
        <v>8</v>
      </c>
      <c r="E180">
        <v>178</v>
      </c>
      <c r="F180" t="s">
        <v>60</v>
      </c>
      <c r="G180">
        <v>4.2300000000000004</v>
      </c>
    </row>
    <row r="181" spans="1:7" x14ac:dyDescent="0.3">
      <c r="A181">
        <v>734</v>
      </c>
      <c r="B181" t="s">
        <v>671</v>
      </c>
      <c r="C181">
        <v>25</v>
      </c>
      <c r="D181" t="s">
        <v>8</v>
      </c>
      <c r="E181">
        <v>165</v>
      </c>
      <c r="F181" t="s">
        <v>37</v>
      </c>
      <c r="G181">
        <v>4.8600000000000003</v>
      </c>
    </row>
    <row r="182" spans="1:7" x14ac:dyDescent="0.3">
      <c r="A182">
        <v>470</v>
      </c>
      <c r="B182" t="s">
        <v>570</v>
      </c>
      <c r="C182">
        <v>29</v>
      </c>
      <c r="D182" t="s">
        <v>8</v>
      </c>
      <c r="E182">
        <v>4</v>
      </c>
      <c r="F182" t="s">
        <v>35</v>
      </c>
      <c r="G182">
        <v>1.7</v>
      </c>
    </row>
    <row r="183" spans="1:7" x14ac:dyDescent="0.3">
      <c r="A183">
        <v>631</v>
      </c>
      <c r="B183" t="s">
        <v>673</v>
      </c>
      <c r="C183">
        <v>27</v>
      </c>
      <c r="D183" t="s">
        <v>8</v>
      </c>
      <c r="E183">
        <v>137</v>
      </c>
      <c r="F183" t="s">
        <v>330</v>
      </c>
      <c r="G183">
        <v>3.39</v>
      </c>
    </row>
    <row r="184" spans="1:7" x14ac:dyDescent="0.3">
      <c r="A184">
        <v>270</v>
      </c>
      <c r="B184" t="s">
        <v>386</v>
      </c>
      <c r="C184">
        <v>38</v>
      </c>
      <c r="D184" t="s">
        <v>8</v>
      </c>
      <c r="E184">
        <v>85</v>
      </c>
      <c r="F184" t="s">
        <v>193</v>
      </c>
      <c r="G184">
        <v>1.75</v>
      </c>
    </row>
    <row r="185" spans="1:7" x14ac:dyDescent="0.3">
      <c r="A185">
        <v>768</v>
      </c>
      <c r="B185" t="s">
        <v>386</v>
      </c>
      <c r="C185">
        <v>38</v>
      </c>
      <c r="D185" t="s">
        <v>8</v>
      </c>
      <c r="E185">
        <v>92</v>
      </c>
      <c r="F185" t="s">
        <v>13</v>
      </c>
      <c r="G185">
        <v>4.88</v>
      </c>
    </row>
    <row r="186" spans="1:7" x14ac:dyDescent="0.3">
      <c r="A186">
        <v>565</v>
      </c>
      <c r="B186" t="s">
        <v>635</v>
      </c>
      <c r="C186">
        <v>20</v>
      </c>
      <c r="D186" t="s">
        <v>8</v>
      </c>
      <c r="E186">
        <v>179</v>
      </c>
      <c r="F186" t="s">
        <v>72</v>
      </c>
      <c r="G186">
        <v>4.4800000000000004</v>
      </c>
    </row>
    <row r="187" spans="1:7" x14ac:dyDescent="0.3">
      <c r="A187">
        <v>258</v>
      </c>
      <c r="B187" t="s">
        <v>376</v>
      </c>
      <c r="C187">
        <v>26</v>
      </c>
      <c r="D187" t="s">
        <v>8</v>
      </c>
      <c r="E187">
        <v>149</v>
      </c>
      <c r="F187" t="s">
        <v>320</v>
      </c>
      <c r="G187">
        <v>1.75</v>
      </c>
    </row>
    <row r="188" spans="1:7" x14ac:dyDescent="0.3">
      <c r="A188">
        <v>420</v>
      </c>
      <c r="B188" t="s">
        <v>526</v>
      </c>
      <c r="C188">
        <v>23</v>
      </c>
      <c r="D188" t="s">
        <v>8</v>
      </c>
      <c r="E188">
        <v>129</v>
      </c>
      <c r="F188" t="s">
        <v>163</v>
      </c>
      <c r="G188">
        <v>1.54</v>
      </c>
    </row>
    <row r="189" spans="1:7" x14ac:dyDescent="0.3">
      <c r="A189">
        <v>761</v>
      </c>
      <c r="B189" t="s">
        <v>756</v>
      </c>
      <c r="C189">
        <v>45</v>
      </c>
      <c r="D189" t="s">
        <v>8</v>
      </c>
      <c r="E189">
        <v>17</v>
      </c>
      <c r="F189" t="s">
        <v>166</v>
      </c>
      <c r="G189">
        <v>1.7</v>
      </c>
    </row>
    <row r="190" spans="1:7" x14ac:dyDescent="0.3">
      <c r="A190">
        <v>587</v>
      </c>
      <c r="B190" t="s">
        <v>650</v>
      </c>
      <c r="C190">
        <v>22</v>
      </c>
      <c r="D190" t="s">
        <v>8</v>
      </c>
      <c r="E190">
        <v>141</v>
      </c>
      <c r="F190" t="s">
        <v>58</v>
      </c>
      <c r="G190">
        <v>3.19</v>
      </c>
    </row>
    <row r="191" spans="1:7" x14ac:dyDescent="0.3">
      <c r="A191">
        <v>73</v>
      </c>
      <c r="B191" t="s">
        <v>142</v>
      </c>
      <c r="C191">
        <v>21</v>
      </c>
      <c r="D191" t="s">
        <v>8</v>
      </c>
      <c r="E191">
        <v>68</v>
      </c>
      <c r="F191" t="s">
        <v>143</v>
      </c>
      <c r="G191">
        <v>4.32</v>
      </c>
    </row>
    <row r="192" spans="1:7" x14ac:dyDescent="0.3">
      <c r="A192">
        <v>351</v>
      </c>
      <c r="B192" t="s">
        <v>142</v>
      </c>
      <c r="C192">
        <v>21</v>
      </c>
      <c r="D192" t="s">
        <v>8</v>
      </c>
      <c r="E192">
        <v>121</v>
      </c>
      <c r="F192" t="s">
        <v>463</v>
      </c>
      <c r="G192">
        <v>1.6</v>
      </c>
    </row>
    <row r="193" spans="1:7" x14ac:dyDescent="0.3">
      <c r="A193">
        <v>460</v>
      </c>
      <c r="B193" t="s">
        <v>560</v>
      </c>
      <c r="C193">
        <v>25</v>
      </c>
      <c r="D193" t="s">
        <v>8</v>
      </c>
      <c r="E193">
        <v>103</v>
      </c>
      <c r="F193" t="s">
        <v>280</v>
      </c>
      <c r="G193">
        <v>4.3499999999999996</v>
      </c>
    </row>
    <row r="194" spans="1:7" x14ac:dyDescent="0.3">
      <c r="A194">
        <v>79</v>
      </c>
      <c r="B194" t="s">
        <v>152</v>
      </c>
      <c r="C194">
        <v>26</v>
      </c>
      <c r="D194" t="s">
        <v>8</v>
      </c>
      <c r="E194">
        <v>15</v>
      </c>
      <c r="F194" t="s">
        <v>108</v>
      </c>
      <c r="G194">
        <v>2.96</v>
      </c>
    </row>
    <row r="195" spans="1:7" x14ac:dyDescent="0.3">
      <c r="A195">
        <v>13</v>
      </c>
      <c r="B195" t="s">
        <v>34</v>
      </c>
      <c r="C195">
        <v>22</v>
      </c>
      <c r="D195" t="s">
        <v>8</v>
      </c>
      <c r="E195">
        <v>4</v>
      </c>
      <c r="F195" t="s">
        <v>35</v>
      </c>
      <c r="G195">
        <v>1.7</v>
      </c>
    </row>
    <row r="196" spans="1:7" x14ac:dyDescent="0.3">
      <c r="A196">
        <v>729</v>
      </c>
      <c r="B196" t="s">
        <v>736</v>
      </c>
      <c r="C196">
        <v>20</v>
      </c>
      <c r="D196" t="s">
        <v>8</v>
      </c>
      <c r="E196">
        <v>74</v>
      </c>
      <c r="F196" t="s">
        <v>223</v>
      </c>
      <c r="G196">
        <v>4.18</v>
      </c>
    </row>
    <row r="197" spans="1:7" x14ac:dyDescent="0.3">
      <c r="A197">
        <v>680</v>
      </c>
      <c r="B197" t="s">
        <v>707</v>
      </c>
      <c r="C197">
        <v>25</v>
      </c>
      <c r="D197" t="s">
        <v>8</v>
      </c>
      <c r="E197">
        <v>96</v>
      </c>
      <c r="F197" t="s">
        <v>64</v>
      </c>
      <c r="G197">
        <v>3.09</v>
      </c>
    </row>
    <row r="198" spans="1:7" x14ac:dyDescent="0.3">
      <c r="A198">
        <v>390</v>
      </c>
      <c r="B198" t="s">
        <v>503</v>
      </c>
      <c r="C198">
        <v>26</v>
      </c>
      <c r="D198" t="s">
        <v>8</v>
      </c>
      <c r="E198">
        <v>75</v>
      </c>
      <c r="F198" t="s">
        <v>218</v>
      </c>
      <c r="G198">
        <v>2.42</v>
      </c>
    </row>
    <row r="199" spans="1:7" x14ac:dyDescent="0.3">
      <c r="A199">
        <v>762</v>
      </c>
      <c r="B199" t="s">
        <v>503</v>
      </c>
      <c r="C199">
        <v>26</v>
      </c>
      <c r="D199" t="s">
        <v>8</v>
      </c>
      <c r="E199">
        <v>110</v>
      </c>
      <c r="F199" t="s">
        <v>105</v>
      </c>
      <c r="G199">
        <v>1.44</v>
      </c>
    </row>
    <row r="200" spans="1:7" x14ac:dyDescent="0.3">
      <c r="A200">
        <v>772</v>
      </c>
      <c r="B200" t="s">
        <v>503</v>
      </c>
      <c r="C200">
        <v>26</v>
      </c>
      <c r="D200" t="s">
        <v>8</v>
      </c>
      <c r="E200">
        <v>136</v>
      </c>
      <c r="F200" t="s">
        <v>28</v>
      </c>
      <c r="G200">
        <v>3.58</v>
      </c>
    </row>
    <row r="201" spans="1:7" x14ac:dyDescent="0.3">
      <c r="A201">
        <v>48</v>
      </c>
      <c r="B201" t="s">
        <v>102</v>
      </c>
      <c r="C201">
        <v>20</v>
      </c>
      <c r="D201" t="s">
        <v>8</v>
      </c>
      <c r="E201">
        <v>138</v>
      </c>
      <c r="F201" t="s">
        <v>103</v>
      </c>
      <c r="G201">
        <v>4.74</v>
      </c>
    </row>
    <row r="202" spans="1:7" x14ac:dyDescent="0.3">
      <c r="A202">
        <v>387</v>
      </c>
      <c r="B202" t="s">
        <v>500</v>
      </c>
      <c r="C202">
        <v>26</v>
      </c>
      <c r="D202" t="s">
        <v>8</v>
      </c>
      <c r="E202">
        <v>39</v>
      </c>
      <c r="F202" t="s">
        <v>171</v>
      </c>
      <c r="G202">
        <v>3.94</v>
      </c>
    </row>
    <row r="203" spans="1:7" x14ac:dyDescent="0.3">
      <c r="A203">
        <v>644</v>
      </c>
      <c r="B203" t="s">
        <v>500</v>
      </c>
      <c r="C203">
        <v>26</v>
      </c>
      <c r="D203" t="s">
        <v>8</v>
      </c>
      <c r="E203">
        <v>22</v>
      </c>
      <c r="F203" t="s">
        <v>106</v>
      </c>
      <c r="G203">
        <v>2.1800000000000002</v>
      </c>
    </row>
    <row r="204" spans="1:7" x14ac:dyDescent="0.3">
      <c r="A204">
        <v>171</v>
      </c>
      <c r="B204" t="s">
        <v>273</v>
      </c>
      <c r="C204">
        <v>30</v>
      </c>
      <c r="D204" t="s">
        <v>8</v>
      </c>
      <c r="E204">
        <v>102</v>
      </c>
      <c r="F204" t="s">
        <v>99</v>
      </c>
      <c r="G204">
        <v>3.44</v>
      </c>
    </row>
    <row r="205" spans="1:7" x14ac:dyDescent="0.3">
      <c r="A205">
        <v>671</v>
      </c>
      <c r="B205" t="s">
        <v>273</v>
      </c>
      <c r="C205">
        <v>30</v>
      </c>
      <c r="D205" t="s">
        <v>8</v>
      </c>
      <c r="E205">
        <v>152</v>
      </c>
      <c r="F205" t="s">
        <v>121</v>
      </c>
      <c r="G205">
        <v>1.74</v>
      </c>
    </row>
    <row r="206" spans="1:7" x14ac:dyDescent="0.3">
      <c r="A206">
        <v>329</v>
      </c>
      <c r="B206" t="s">
        <v>444</v>
      </c>
      <c r="C206">
        <v>20</v>
      </c>
      <c r="D206" t="s">
        <v>8</v>
      </c>
      <c r="E206">
        <v>145</v>
      </c>
      <c r="F206" t="s">
        <v>227</v>
      </c>
      <c r="G206">
        <v>4.58</v>
      </c>
    </row>
    <row r="207" spans="1:7" x14ac:dyDescent="0.3">
      <c r="A207">
        <v>310</v>
      </c>
      <c r="B207" t="s">
        <v>429</v>
      </c>
      <c r="C207">
        <v>30</v>
      </c>
      <c r="D207" t="s">
        <v>8</v>
      </c>
      <c r="E207">
        <v>117</v>
      </c>
      <c r="F207" t="s">
        <v>207</v>
      </c>
      <c r="G207">
        <v>1.79</v>
      </c>
    </row>
    <row r="208" spans="1:7" x14ac:dyDescent="0.3">
      <c r="A208">
        <v>614</v>
      </c>
      <c r="B208" t="s">
        <v>429</v>
      </c>
      <c r="C208">
        <v>30</v>
      </c>
      <c r="D208" t="s">
        <v>8</v>
      </c>
      <c r="E208">
        <v>65</v>
      </c>
      <c r="F208" t="s">
        <v>262</v>
      </c>
      <c r="G208">
        <v>4.24</v>
      </c>
    </row>
    <row r="209" spans="1:7" x14ac:dyDescent="0.3">
      <c r="A209">
        <v>331</v>
      </c>
      <c r="B209" t="s">
        <v>446</v>
      </c>
      <c r="C209">
        <v>23</v>
      </c>
      <c r="D209" t="s">
        <v>8</v>
      </c>
      <c r="E209">
        <v>7</v>
      </c>
      <c r="F209" t="s">
        <v>90</v>
      </c>
      <c r="G209">
        <v>1.33</v>
      </c>
    </row>
    <row r="210" spans="1:7" x14ac:dyDescent="0.3">
      <c r="A210">
        <v>343</v>
      </c>
      <c r="B210" t="s">
        <v>446</v>
      </c>
      <c r="C210">
        <v>23</v>
      </c>
      <c r="D210" t="s">
        <v>8</v>
      </c>
      <c r="E210">
        <v>49</v>
      </c>
      <c r="F210" t="s">
        <v>460</v>
      </c>
      <c r="G210">
        <v>2.96</v>
      </c>
    </row>
    <row r="211" spans="1:7" x14ac:dyDescent="0.3">
      <c r="A211">
        <v>359</v>
      </c>
      <c r="B211" t="s">
        <v>474</v>
      </c>
      <c r="C211">
        <v>18</v>
      </c>
      <c r="D211" t="s">
        <v>8</v>
      </c>
      <c r="E211">
        <v>73</v>
      </c>
      <c r="F211" t="s">
        <v>84</v>
      </c>
      <c r="G211">
        <v>2.0499999999999998</v>
      </c>
    </row>
    <row r="212" spans="1:7" x14ac:dyDescent="0.3">
      <c r="A212">
        <v>186</v>
      </c>
      <c r="B212" t="s">
        <v>295</v>
      </c>
      <c r="C212">
        <v>30</v>
      </c>
      <c r="D212" t="s">
        <v>8</v>
      </c>
      <c r="E212">
        <v>77</v>
      </c>
      <c r="F212" t="s">
        <v>296</v>
      </c>
      <c r="G212">
        <v>4</v>
      </c>
    </row>
    <row r="213" spans="1:7" x14ac:dyDescent="0.3">
      <c r="A213">
        <v>506</v>
      </c>
      <c r="B213" t="s">
        <v>295</v>
      </c>
      <c r="C213">
        <v>30</v>
      </c>
      <c r="D213" t="s">
        <v>8</v>
      </c>
      <c r="E213">
        <v>25</v>
      </c>
      <c r="F213" t="s">
        <v>114</v>
      </c>
      <c r="G213">
        <v>4.3499999999999996</v>
      </c>
    </row>
    <row r="214" spans="1:7" x14ac:dyDescent="0.3">
      <c r="A214">
        <v>686</v>
      </c>
      <c r="B214" t="s">
        <v>709</v>
      </c>
      <c r="C214">
        <v>8</v>
      </c>
      <c r="D214" t="s">
        <v>8</v>
      </c>
      <c r="E214">
        <v>147</v>
      </c>
      <c r="F214" t="s">
        <v>410</v>
      </c>
      <c r="G214">
        <v>4.93</v>
      </c>
    </row>
    <row r="215" spans="1:7" x14ac:dyDescent="0.3">
      <c r="A215">
        <v>647</v>
      </c>
      <c r="B215" t="s">
        <v>685</v>
      </c>
      <c r="C215">
        <v>24</v>
      </c>
      <c r="D215" t="s">
        <v>8</v>
      </c>
      <c r="E215">
        <v>61</v>
      </c>
      <c r="F215" t="s">
        <v>557</v>
      </c>
      <c r="G215">
        <v>3.87</v>
      </c>
    </row>
    <row r="216" spans="1:7" x14ac:dyDescent="0.3">
      <c r="A216">
        <v>91</v>
      </c>
      <c r="B216" t="s">
        <v>168</v>
      </c>
      <c r="C216">
        <v>20</v>
      </c>
      <c r="D216" t="s">
        <v>8</v>
      </c>
      <c r="E216">
        <v>59</v>
      </c>
      <c r="F216" t="s">
        <v>169</v>
      </c>
      <c r="G216">
        <v>4.2300000000000004</v>
      </c>
    </row>
    <row r="217" spans="1:7" x14ac:dyDescent="0.3">
      <c r="A217">
        <v>198</v>
      </c>
      <c r="B217" t="s">
        <v>168</v>
      </c>
      <c r="C217">
        <v>20</v>
      </c>
      <c r="D217" t="s">
        <v>8</v>
      </c>
      <c r="E217">
        <v>153</v>
      </c>
      <c r="F217" t="s">
        <v>312</v>
      </c>
      <c r="G217">
        <v>3.74</v>
      </c>
    </row>
    <row r="218" spans="1:7" x14ac:dyDescent="0.3">
      <c r="A218">
        <v>711</v>
      </c>
      <c r="B218" t="s">
        <v>168</v>
      </c>
      <c r="C218">
        <v>20</v>
      </c>
      <c r="D218" t="s">
        <v>8</v>
      </c>
      <c r="E218">
        <v>94</v>
      </c>
      <c r="F218" t="s">
        <v>373</v>
      </c>
      <c r="G218">
        <v>3.49</v>
      </c>
    </row>
    <row r="219" spans="1:7" x14ac:dyDescent="0.3">
      <c r="A219">
        <v>570</v>
      </c>
      <c r="B219" t="s">
        <v>638</v>
      </c>
      <c r="C219">
        <v>20</v>
      </c>
      <c r="D219" t="s">
        <v>8</v>
      </c>
      <c r="E219">
        <v>69</v>
      </c>
      <c r="F219" t="s">
        <v>303</v>
      </c>
      <c r="G219">
        <v>1.98</v>
      </c>
    </row>
    <row r="220" spans="1:7" x14ac:dyDescent="0.3">
      <c r="A220">
        <v>98</v>
      </c>
      <c r="B220" t="s">
        <v>179</v>
      </c>
      <c r="C220">
        <v>23</v>
      </c>
      <c r="D220" t="s">
        <v>8</v>
      </c>
      <c r="E220">
        <v>141</v>
      </c>
      <c r="F220" t="s">
        <v>58</v>
      </c>
      <c r="G220">
        <v>3.19</v>
      </c>
    </row>
    <row r="221" spans="1:7" x14ac:dyDescent="0.3">
      <c r="A221">
        <v>262</v>
      </c>
      <c r="B221" t="s">
        <v>380</v>
      </c>
      <c r="C221">
        <v>15</v>
      </c>
      <c r="D221" t="s">
        <v>8</v>
      </c>
      <c r="E221">
        <v>172</v>
      </c>
      <c r="F221" t="s">
        <v>87</v>
      </c>
      <c r="G221">
        <v>3.14</v>
      </c>
    </row>
    <row r="222" spans="1:7" x14ac:dyDescent="0.3">
      <c r="A222">
        <v>458</v>
      </c>
      <c r="B222" t="s">
        <v>558</v>
      </c>
      <c r="C222">
        <v>29</v>
      </c>
      <c r="D222" t="s">
        <v>8</v>
      </c>
      <c r="E222">
        <v>166</v>
      </c>
      <c r="F222" t="s">
        <v>388</v>
      </c>
      <c r="G222">
        <v>3.07</v>
      </c>
    </row>
    <row r="223" spans="1:7" x14ac:dyDescent="0.3">
      <c r="A223">
        <v>642</v>
      </c>
      <c r="B223" t="s">
        <v>680</v>
      </c>
      <c r="C223">
        <v>23</v>
      </c>
      <c r="D223" t="s">
        <v>8</v>
      </c>
      <c r="E223">
        <v>127</v>
      </c>
      <c r="F223" t="s">
        <v>681</v>
      </c>
      <c r="G223">
        <v>3.92</v>
      </c>
    </row>
    <row r="224" spans="1:7" x14ac:dyDescent="0.3">
      <c r="A224">
        <v>19</v>
      </c>
      <c r="B224" t="s">
        <v>47</v>
      </c>
      <c r="C224">
        <v>30</v>
      </c>
      <c r="D224" t="s">
        <v>8</v>
      </c>
      <c r="E224">
        <v>89</v>
      </c>
      <c r="F224" t="s">
        <v>48</v>
      </c>
      <c r="G224">
        <v>4.6399999999999997</v>
      </c>
    </row>
    <row r="225" spans="1:7" x14ac:dyDescent="0.3">
      <c r="A225">
        <v>3</v>
      </c>
      <c r="B225" t="s">
        <v>14</v>
      </c>
      <c r="C225">
        <v>24</v>
      </c>
      <c r="D225" t="s">
        <v>8</v>
      </c>
      <c r="E225">
        <v>100</v>
      </c>
      <c r="F225" t="s">
        <v>15</v>
      </c>
      <c r="G225">
        <v>3.27</v>
      </c>
    </row>
    <row r="226" spans="1:7" x14ac:dyDescent="0.3">
      <c r="A226">
        <v>307</v>
      </c>
      <c r="B226" t="s">
        <v>426</v>
      </c>
      <c r="C226">
        <v>34</v>
      </c>
      <c r="D226" t="s">
        <v>8</v>
      </c>
      <c r="E226">
        <v>53</v>
      </c>
      <c r="F226" t="s">
        <v>80</v>
      </c>
      <c r="G226">
        <v>2.0499999999999998</v>
      </c>
    </row>
    <row r="227" spans="1:7" x14ac:dyDescent="0.3">
      <c r="A227">
        <v>733</v>
      </c>
      <c r="B227" t="s">
        <v>739</v>
      </c>
      <c r="C227">
        <v>20</v>
      </c>
      <c r="D227" t="s">
        <v>8</v>
      </c>
      <c r="E227">
        <v>66</v>
      </c>
      <c r="F227" t="s">
        <v>347</v>
      </c>
      <c r="G227">
        <v>4.4000000000000004</v>
      </c>
    </row>
    <row r="228" spans="1:7" x14ac:dyDescent="0.3">
      <c r="A228">
        <v>176</v>
      </c>
      <c r="B228" t="s">
        <v>281</v>
      </c>
      <c r="C228">
        <v>17</v>
      </c>
      <c r="D228" t="s">
        <v>8</v>
      </c>
      <c r="E228">
        <v>157</v>
      </c>
      <c r="F228" t="s">
        <v>269</v>
      </c>
      <c r="G228">
        <v>4.8</v>
      </c>
    </row>
    <row r="229" spans="1:7" x14ac:dyDescent="0.3">
      <c r="A229">
        <v>204</v>
      </c>
      <c r="B229" t="s">
        <v>319</v>
      </c>
      <c r="C229">
        <v>16</v>
      </c>
      <c r="D229" t="s">
        <v>8</v>
      </c>
      <c r="E229">
        <v>0</v>
      </c>
      <c r="F229" t="s">
        <v>228</v>
      </c>
      <c r="G229">
        <v>1.28</v>
      </c>
    </row>
    <row r="230" spans="1:7" x14ac:dyDescent="0.3">
      <c r="A230">
        <v>234</v>
      </c>
      <c r="B230" t="s">
        <v>319</v>
      </c>
      <c r="C230">
        <v>16</v>
      </c>
      <c r="D230" t="s">
        <v>8</v>
      </c>
      <c r="E230">
        <v>97</v>
      </c>
      <c r="F230" t="s">
        <v>348</v>
      </c>
      <c r="G230">
        <v>2.5</v>
      </c>
    </row>
    <row r="231" spans="1:7" x14ac:dyDescent="0.3">
      <c r="A231">
        <v>617</v>
      </c>
      <c r="B231" t="s">
        <v>319</v>
      </c>
      <c r="C231">
        <v>16</v>
      </c>
      <c r="D231" t="s">
        <v>8</v>
      </c>
      <c r="E231">
        <v>40</v>
      </c>
      <c r="F231" t="s">
        <v>42</v>
      </c>
      <c r="G231">
        <v>2.52</v>
      </c>
    </row>
    <row r="232" spans="1:7" x14ac:dyDescent="0.3">
      <c r="A232">
        <v>145</v>
      </c>
      <c r="B232" t="s">
        <v>242</v>
      </c>
      <c r="C232">
        <v>23</v>
      </c>
      <c r="D232" t="s">
        <v>8</v>
      </c>
      <c r="E232">
        <v>46</v>
      </c>
      <c r="F232" t="s">
        <v>243</v>
      </c>
      <c r="G232">
        <v>1.33</v>
      </c>
    </row>
    <row r="233" spans="1:7" x14ac:dyDescent="0.3">
      <c r="A233">
        <v>256</v>
      </c>
      <c r="B233" t="s">
        <v>242</v>
      </c>
      <c r="C233">
        <v>23</v>
      </c>
      <c r="D233" t="s">
        <v>8</v>
      </c>
      <c r="E233">
        <v>182</v>
      </c>
      <c r="F233" t="s">
        <v>374</v>
      </c>
      <c r="G233">
        <v>4.03</v>
      </c>
    </row>
    <row r="234" spans="1:7" x14ac:dyDescent="0.3">
      <c r="A234">
        <v>65</v>
      </c>
      <c r="B234" t="s">
        <v>131</v>
      </c>
      <c r="C234">
        <v>25</v>
      </c>
      <c r="D234" t="s">
        <v>8</v>
      </c>
      <c r="E234">
        <v>34</v>
      </c>
      <c r="F234" t="s">
        <v>132</v>
      </c>
      <c r="G234">
        <v>2.2200000000000002</v>
      </c>
    </row>
    <row r="235" spans="1:7" x14ac:dyDescent="0.3">
      <c r="A235">
        <v>664</v>
      </c>
      <c r="B235" t="s">
        <v>695</v>
      </c>
      <c r="C235">
        <v>31</v>
      </c>
      <c r="D235" t="s">
        <v>8</v>
      </c>
      <c r="E235">
        <v>47</v>
      </c>
      <c r="F235" t="s">
        <v>696</v>
      </c>
      <c r="G235">
        <v>3.58</v>
      </c>
    </row>
    <row r="236" spans="1:7" x14ac:dyDescent="0.3">
      <c r="A236">
        <v>611</v>
      </c>
      <c r="B236" t="s">
        <v>664</v>
      </c>
      <c r="C236">
        <v>16</v>
      </c>
      <c r="D236" t="s">
        <v>8</v>
      </c>
      <c r="E236">
        <v>176</v>
      </c>
      <c r="F236" t="s">
        <v>112</v>
      </c>
      <c r="G236">
        <v>2.84</v>
      </c>
    </row>
    <row r="237" spans="1:7" x14ac:dyDescent="0.3">
      <c r="A237">
        <v>433</v>
      </c>
      <c r="B237" t="s">
        <v>537</v>
      </c>
      <c r="C237">
        <v>21</v>
      </c>
      <c r="D237" t="s">
        <v>8</v>
      </c>
      <c r="E237">
        <v>156</v>
      </c>
      <c r="F237" t="s">
        <v>407</v>
      </c>
      <c r="G237">
        <v>1.77</v>
      </c>
    </row>
    <row r="238" spans="1:7" x14ac:dyDescent="0.3">
      <c r="A238">
        <v>538</v>
      </c>
      <c r="B238" t="s">
        <v>618</v>
      </c>
      <c r="C238">
        <v>25</v>
      </c>
      <c r="D238" t="s">
        <v>8</v>
      </c>
      <c r="E238">
        <v>141</v>
      </c>
      <c r="F238" t="s">
        <v>58</v>
      </c>
      <c r="G238">
        <v>3.19</v>
      </c>
    </row>
    <row r="239" spans="1:7" x14ac:dyDescent="0.3">
      <c r="A239">
        <v>507</v>
      </c>
      <c r="B239" t="s">
        <v>597</v>
      </c>
      <c r="C239">
        <v>22</v>
      </c>
      <c r="D239" t="s">
        <v>8</v>
      </c>
      <c r="E239">
        <v>29</v>
      </c>
      <c r="F239" t="s">
        <v>140</v>
      </c>
      <c r="G239">
        <v>1.98</v>
      </c>
    </row>
    <row r="240" spans="1:7" x14ac:dyDescent="0.3">
      <c r="A240">
        <v>561</v>
      </c>
      <c r="B240" t="s">
        <v>597</v>
      </c>
      <c r="C240">
        <v>22</v>
      </c>
      <c r="D240" t="s">
        <v>8</v>
      </c>
      <c r="E240">
        <v>35</v>
      </c>
      <c r="F240" t="s">
        <v>411</v>
      </c>
      <c r="G240">
        <v>3.45</v>
      </c>
    </row>
    <row r="241" spans="1:7" x14ac:dyDescent="0.3">
      <c r="A241">
        <v>633</v>
      </c>
      <c r="B241" t="s">
        <v>597</v>
      </c>
      <c r="C241">
        <v>22</v>
      </c>
      <c r="D241" t="s">
        <v>8</v>
      </c>
      <c r="E241">
        <v>80</v>
      </c>
      <c r="F241" t="s">
        <v>119</v>
      </c>
      <c r="G241">
        <v>3.39</v>
      </c>
    </row>
    <row r="242" spans="1:7" x14ac:dyDescent="0.3">
      <c r="A242">
        <v>164</v>
      </c>
      <c r="B242" t="s">
        <v>263</v>
      </c>
      <c r="C242">
        <v>22</v>
      </c>
      <c r="D242" t="s">
        <v>8</v>
      </c>
      <c r="E242">
        <v>96</v>
      </c>
      <c r="F242" t="s">
        <v>64</v>
      </c>
      <c r="G242">
        <v>3.09</v>
      </c>
    </row>
    <row r="243" spans="1:7" x14ac:dyDescent="0.3">
      <c r="A243">
        <v>744</v>
      </c>
      <c r="B243" t="s">
        <v>263</v>
      </c>
      <c r="C243">
        <v>22</v>
      </c>
      <c r="D243" t="s">
        <v>8</v>
      </c>
      <c r="E243">
        <v>94</v>
      </c>
      <c r="F243" t="s">
        <v>373</v>
      </c>
      <c r="G243">
        <v>3.49</v>
      </c>
    </row>
    <row r="244" spans="1:7" x14ac:dyDescent="0.3">
      <c r="A244">
        <v>300</v>
      </c>
      <c r="B244" t="s">
        <v>418</v>
      </c>
      <c r="C244">
        <v>22</v>
      </c>
      <c r="D244" t="s">
        <v>8</v>
      </c>
      <c r="E244">
        <v>136</v>
      </c>
      <c r="F244" t="s">
        <v>28</v>
      </c>
      <c r="G244">
        <v>3.58</v>
      </c>
    </row>
    <row r="245" spans="1:7" x14ac:dyDescent="0.3">
      <c r="A245">
        <v>668</v>
      </c>
      <c r="B245" t="s">
        <v>700</v>
      </c>
      <c r="C245">
        <v>15</v>
      </c>
      <c r="D245" t="s">
        <v>8</v>
      </c>
      <c r="E245">
        <v>40</v>
      </c>
      <c r="F245" t="s">
        <v>42</v>
      </c>
      <c r="G245">
        <v>2.52</v>
      </c>
    </row>
    <row r="246" spans="1:7" x14ac:dyDescent="0.3">
      <c r="A246">
        <v>717</v>
      </c>
      <c r="B246" t="s">
        <v>727</v>
      </c>
      <c r="C246">
        <v>30</v>
      </c>
      <c r="D246" t="s">
        <v>8</v>
      </c>
      <c r="E246">
        <v>177</v>
      </c>
      <c r="F246" t="s">
        <v>728</v>
      </c>
      <c r="G246">
        <v>2.08</v>
      </c>
    </row>
    <row r="247" spans="1:7" x14ac:dyDescent="0.3">
      <c r="A247">
        <v>622</v>
      </c>
      <c r="B247" t="s">
        <v>668</v>
      </c>
      <c r="C247">
        <v>25</v>
      </c>
      <c r="D247" t="s">
        <v>8</v>
      </c>
      <c r="E247">
        <v>129</v>
      </c>
      <c r="F247" t="s">
        <v>163</v>
      </c>
      <c r="G247">
        <v>1.54</v>
      </c>
    </row>
    <row r="248" spans="1:7" x14ac:dyDescent="0.3">
      <c r="A248">
        <v>585</v>
      </c>
      <c r="B248" t="s">
        <v>648</v>
      </c>
      <c r="C248">
        <v>22</v>
      </c>
      <c r="D248" t="s">
        <v>8</v>
      </c>
      <c r="E248">
        <v>85</v>
      </c>
      <c r="F248" t="s">
        <v>193</v>
      </c>
      <c r="G248">
        <v>1.75</v>
      </c>
    </row>
    <row r="249" spans="1:7" x14ac:dyDescent="0.3">
      <c r="A249">
        <v>636</v>
      </c>
      <c r="B249" t="s">
        <v>648</v>
      </c>
      <c r="C249">
        <v>22</v>
      </c>
      <c r="D249" t="s">
        <v>8</v>
      </c>
      <c r="E249">
        <v>78</v>
      </c>
      <c r="F249" t="s">
        <v>208</v>
      </c>
      <c r="G249">
        <v>4.4000000000000004</v>
      </c>
    </row>
    <row r="250" spans="1:7" x14ac:dyDescent="0.3">
      <c r="A250">
        <v>493</v>
      </c>
      <c r="B250" t="s">
        <v>587</v>
      </c>
      <c r="C250">
        <v>14</v>
      </c>
      <c r="D250" t="s">
        <v>8</v>
      </c>
      <c r="E250">
        <v>139</v>
      </c>
      <c r="F250" t="s">
        <v>196</v>
      </c>
      <c r="G250">
        <v>4.9400000000000004</v>
      </c>
    </row>
    <row r="251" spans="1:7" x14ac:dyDescent="0.3">
      <c r="A251">
        <v>745</v>
      </c>
      <c r="B251" t="s">
        <v>747</v>
      </c>
      <c r="C251">
        <v>39</v>
      </c>
      <c r="D251" t="s">
        <v>8</v>
      </c>
      <c r="E251">
        <v>37</v>
      </c>
      <c r="F251" t="s">
        <v>68</v>
      </c>
      <c r="G251">
        <v>3.16</v>
      </c>
    </row>
    <row r="252" spans="1:7" x14ac:dyDescent="0.3">
      <c r="A252">
        <v>153</v>
      </c>
      <c r="B252" t="s">
        <v>251</v>
      </c>
      <c r="C252">
        <v>21</v>
      </c>
      <c r="D252" t="s">
        <v>8</v>
      </c>
      <c r="E252">
        <v>164</v>
      </c>
      <c r="F252" t="s">
        <v>175</v>
      </c>
      <c r="G252">
        <v>1.63</v>
      </c>
    </row>
    <row r="253" spans="1:7" x14ac:dyDescent="0.3">
      <c r="A253">
        <v>479</v>
      </c>
      <c r="B253" t="s">
        <v>251</v>
      </c>
      <c r="C253">
        <v>21</v>
      </c>
      <c r="D253" t="s">
        <v>8</v>
      </c>
      <c r="E253">
        <v>60</v>
      </c>
      <c r="F253" t="s">
        <v>110</v>
      </c>
      <c r="G253">
        <v>3.54</v>
      </c>
    </row>
    <row r="254" spans="1:7" x14ac:dyDescent="0.3">
      <c r="A254">
        <v>51</v>
      </c>
      <c r="B254" t="s">
        <v>107</v>
      </c>
      <c r="C254">
        <v>22</v>
      </c>
      <c r="D254" t="s">
        <v>8</v>
      </c>
      <c r="E254">
        <v>15</v>
      </c>
      <c r="F254" t="s">
        <v>108</v>
      </c>
      <c r="G254">
        <v>2.96</v>
      </c>
    </row>
    <row r="255" spans="1:7" x14ac:dyDescent="0.3">
      <c r="A255">
        <v>201</v>
      </c>
      <c r="B255" t="s">
        <v>316</v>
      </c>
      <c r="C255">
        <v>31</v>
      </c>
      <c r="D255" t="s">
        <v>8</v>
      </c>
      <c r="E255">
        <v>2</v>
      </c>
      <c r="F255" t="s">
        <v>229</v>
      </c>
      <c r="G255">
        <v>2.48</v>
      </c>
    </row>
    <row r="256" spans="1:7" x14ac:dyDescent="0.3">
      <c r="A256">
        <v>700</v>
      </c>
      <c r="B256" t="s">
        <v>316</v>
      </c>
      <c r="C256">
        <v>31</v>
      </c>
      <c r="D256" t="s">
        <v>8</v>
      </c>
      <c r="E256">
        <v>90</v>
      </c>
      <c r="F256" t="s">
        <v>717</v>
      </c>
      <c r="G256">
        <v>2.94</v>
      </c>
    </row>
    <row r="257" spans="1:7" x14ac:dyDescent="0.3">
      <c r="A257">
        <v>728</v>
      </c>
      <c r="B257" t="s">
        <v>735</v>
      </c>
      <c r="C257">
        <v>44</v>
      </c>
      <c r="D257" t="s">
        <v>8</v>
      </c>
      <c r="E257">
        <v>93</v>
      </c>
      <c r="F257" t="s">
        <v>523</v>
      </c>
      <c r="G257">
        <v>1.97</v>
      </c>
    </row>
    <row r="258" spans="1:7" x14ac:dyDescent="0.3">
      <c r="A258">
        <v>706</v>
      </c>
      <c r="B258" t="s">
        <v>723</v>
      </c>
      <c r="C258">
        <v>20</v>
      </c>
      <c r="D258" t="s">
        <v>8</v>
      </c>
      <c r="E258">
        <v>178</v>
      </c>
      <c r="F258" t="s">
        <v>60</v>
      </c>
      <c r="G258">
        <v>4.2300000000000004</v>
      </c>
    </row>
    <row r="259" spans="1:7" x14ac:dyDescent="0.3">
      <c r="A259">
        <v>749</v>
      </c>
      <c r="B259" t="s">
        <v>723</v>
      </c>
      <c r="C259">
        <v>20</v>
      </c>
      <c r="D259" t="s">
        <v>8</v>
      </c>
      <c r="E259">
        <v>53</v>
      </c>
      <c r="F259" t="s">
        <v>80</v>
      </c>
      <c r="G259">
        <v>2.0499999999999998</v>
      </c>
    </row>
    <row r="260" spans="1:7" x14ac:dyDescent="0.3">
      <c r="A260">
        <v>47</v>
      </c>
      <c r="B260" t="s">
        <v>100</v>
      </c>
      <c r="C260">
        <v>20</v>
      </c>
      <c r="D260" t="s">
        <v>8</v>
      </c>
      <c r="E260">
        <v>170</v>
      </c>
      <c r="F260" t="s">
        <v>101</v>
      </c>
      <c r="G260">
        <v>3.97</v>
      </c>
    </row>
    <row r="261" spans="1:7" x14ac:dyDescent="0.3">
      <c r="A261">
        <v>217</v>
      </c>
      <c r="B261" t="s">
        <v>332</v>
      </c>
      <c r="C261">
        <v>38</v>
      </c>
      <c r="D261" t="s">
        <v>8</v>
      </c>
      <c r="E261">
        <v>25</v>
      </c>
      <c r="F261" t="s">
        <v>114</v>
      </c>
      <c r="G261">
        <v>4.3499999999999996</v>
      </c>
    </row>
    <row r="262" spans="1:7" x14ac:dyDescent="0.3">
      <c r="A262">
        <v>554</v>
      </c>
      <c r="B262" t="s">
        <v>629</v>
      </c>
      <c r="C262">
        <v>22</v>
      </c>
      <c r="D262" t="s">
        <v>8</v>
      </c>
      <c r="E262">
        <v>63</v>
      </c>
      <c r="F262" t="s">
        <v>301</v>
      </c>
      <c r="G262">
        <v>4.99</v>
      </c>
    </row>
    <row r="263" spans="1:7" x14ac:dyDescent="0.3">
      <c r="A263">
        <v>687</v>
      </c>
      <c r="B263" t="s">
        <v>710</v>
      </c>
      <c r="C263">
        <v>35</v>
      </c>
      <c r="D263" t="s">
        <v>8</v>
      </c>
      <c r="E263">
        <v>78</v>
      </c>
      <c r="F263" t="s">
        <v>208</v>
      </c>
      <c r="G263">
        <v>4.4000000000000004</v>
      </c>
    </row>
    <row r="264" spans="1:7" x14ac:dyDescent="0.3">
      <c r="A264">
        <v>221</v>
      </c>
      <c r="B264" t="s">
        <v>336</v>
      </c>
      <c r="C264">
        <v>30</v>
      </c>
      <c r="D264" t="s">
        <v>8</v>
      </c>
      <c r="E264">
        <v>175</v>
      </c>
      <c r="F264" t="s">
        <v>239</v>
      </c>
      <c r="G264">
        <v>4.4800000000000004</v>
      </c>
    </row>
    <row r="265" spans="1:7" x14ac:dyDescent="0.3">
      <c r="A265">
        <v>277</v>
      </c>
      <c r="B265" t="s">
        <v>393</v>
      </c>
      <c r="C265">
        <v>24</v>
      </c>
      <c r="D265" t="s">
        <v>8</v>
      </c>
      <c r="E265">
        <v>92</v>
      </c>
      <c r="F265" t="s">
        <v>13</v>
      </c>
      <c r="G265">
        <v>4.88</v>
      </c>
    </row>
    <row r="266" spans="1:7" x14ac:dyDescent="0.3">
      <c r="A266">
        <v>395</v>
      </c>
      <c r="B266" t="s">
        <v>508</v>
      </c>
      <c r="C266">
        <v>17</v>
      </c>
      <c r="D266" t="s">
        <v>8</v>
      </c>
      <c r="E266">
        <v>152</v>
      </c>
      <c r="F266" t="s">
        <v>121</v>
      </c>
      <c r="G266">
        <v>1.74</v>
      </c>
    </row>
    <row r="267" spans="1:7" x14ac:dyDescent="0.3">
      <c r="A267">
        <v>461</v>
      </c>
      <c r="B267" t="s">
        <v>561</v>
      </c>
      <c r="C267">
        <v>24</v>
      </c>
      <c r="D267" t="s">
        <v>8</v>
      </c>
      <c r="E267">
        <v>168</v>
      </c>
      <c r="F267" t="s">
        <v>52</v>
      </c>
      <c r="G267">
        <v>1.48</v>
      </c>
    </row>
    <row r="268" spans="1:7" x14ac:dyDescent="0.3">
      <c r="A268">
        <v>779</v>
      </c>
      <c r="B268" t="s">
        <v>561</v>
      </c>
      <c r="C268">
        <v>24</v>
      </c>
      <c r="D268" t="s">
        <v>8</v>
      </c>
      <c r="E268">
        <v>50</v>
      </c>
      <c r="F268" t="s">
        <v>151</v>
      </c>
      <c r="G268">
        <v>4.5999999999999996</v>
      </c>
    </row>
    <row r="269" spans="1:7" x14ac:dyDescent="0.3">
      <c r="A269">
        <v>239</v>
      </c>
      <c r="B269" t="s">
        <v>357</v>
      </c>
      <c r="C269">
        <v>30</v>
      </c>
      <c r="D269" t="s">
        <v>8</v>
      </c>
      <c r="E269">
        <v>19</v>
      </c>
      <c r="F269" t="s">
        <v>358</v>
      </c>
      <c r="G269">
        <v>1.02</v>
      </c>
    </row>
    <row r="270" spans="1:7" x14ac:dyDescent="0.3">
      <c r="A270">
        <v>367</v>
      </c>
      <c r="B270" t="s">
        <v>357</v>
      </c>
      <c r="C270">
        <v>30</v>
      </c>
      <c r="D270" t="s">
        <v>8</v>
      </c>
      <c r="E270">
        <v>138</v>
      </c>
      <c r="F270" t="s">
        <v>103</v>
      </c>
      <c r="G270">
        <v>4.74</v>
      </c>
    </row>
    <row r="271" spans="1:7" x14ac:dyDescent="0.3">
      <c r="A271">
        <v>501</v>
      </c>
      <c r="B271" t="s">
        <v>594</v>
      </c>
      <c r="C271">
        <v>32</v>
      </c>
      <c r="D271" t="s">
        <v>8</v>
      </c>
      <c r="E271">
        <v>151</v>
      </c>
      <c r="F271" t="s">
        <v>56</v>
      </c>
      <c r="G271">
        <v>3.4</v>
      </c>
    </row>
    <row r="272" spans="1:7" x14ac:dyDescent="0.3">
      <c r="A272">
        <v>459</v>
      </c>
      <c r="B272" t="s">
        <v>559</v>
      </c>
      <c r="C272">
        <v>30</v>
      </c>
      <c r="D272" t="s">
        <v>8</v>
      </c>
      <c r="E272">
        <v>129</v>
      </c>
      <c r="F272" t="s">
        <v>163</v>
      </c>
      <c r="G272">
        <v>1.54</v>
      </c>
    </row>
    <row r="273" spans="1:7" x14ac:dyDescent="0.3">
      <c r="A273">
        <v>634</v>
      </c>
      <c r="B273" t="s">
        <v>675</v>
      </c>
      <c r="C273">
        <v>16</v>
      </c>
      <c r="D273" t="s">
        <v>8</v>
      </c>
      <c r="E273">
        <v>103</v>
      </c>
      <c r="F273" t="s">
        <v>280</v>
      </c>
      <c r="G273">
        <v>4.3499999999999996</v>
      </c>
    </row>
    <row r="274" spans="1:7" x14ac:dyDescent="0.3">
      <c r="A274">
        <v>89</v>
      </c>
      <c r="B274" t="s">
        <v>165</v>
      </c>
      <c r="C274">
        <v>22</v>
      </c>
      <c r="D274" t="s">
        <v>8</v>
      </c>
      <c r="E274">
        <v>17</v>
      </c>
      <c r="F274" t="s">
        <v>166</v>
      </c>
      <c r="G274">
        <v>1.7</v>
      </c>
    </row>
    <row r="275" spans="1:7" x14ac:dyDescent="0.3">
      <c r="A275">
        <v>211</v>
      </c>
      <c r="B275" t="s">
        <v>325</v>
      </c>
      <c r="C275">
        <v>17</v>
      </c>
      <c r="D275" t="s">
        <v>8</v>
      </c>
      <c r="E275">
        <v>120</v>
      </c>
      <c r="F275" t="s">
        <v>225</v>
      </c>
      <c r="G275">
        <v>3.08</v>
      </c>
    </row>
    <row r="276" spans="1:7" x14ac:dyDescent="0.3">
      <c r="A276">
        <v>539</v>
      </c>
      <c r="B276" t="s">
        <v>619</v>
      </c>
      <c r="C276">
        <v>11</v>
      </c>
      <c r="D276" t="s">
        <v>8</v>
      </c>
      <c r="E276">
        <v>117</v>
      </c>
      <c r="F276" t="s">
        <v>207</v>
      </c>
      <c r="G276">
        <v>1.79</v>
      </c>
    </row>
    <row r="277" spans="1:7" x14ac:dyDescent="0.3">
      <c r="A277">
        <v>757</v>
      </c>
      <c r="B277" t="s">
        <v>755</v>
      </c>
      <c r="C277">
        <v>18</v>
      </c>
      <c r="D277" t="s">
        <v>8</v>
      </c>
      <c r="E277">
        <v>57</v>
      </c>
      <c r="F277" t="s">
        <v>50</v>
      </c>
      <c r="G277">
        <v>4.5999999999999996</v>
      </c>
    </row>
    <row r="278" spans="1:7" x14ac:dyDescent="0.3">
      <c r="A278">
        <v>495</v>
      </c>
      <c r="B278" t="s">
        <v>589</v>
      </c>
      <c r="C278">
        <v>24</v>
      </c>
      <c r="D278" t="s">
        <v>8</v>
      </c>
      <c r="E278">
        <v>97</v>
      </c>
      <c r="F278" t="s">
        <v>348</v>
      </c>
      <c r="G278">
        <v>2.5</v>
      </c>
    </row>
    <row r="279" spans="1:7" x14ac:dyDescent="0.3">
      <c r="A279">
        <v>532</v>
      </c>
      <c r="B279" t="s">
        <v>615</v>
      </c>
      <c r="C279">
        <v>16</v>
      </c>
      <c r="D279" t="s">
        <v>8</v>
      </c>
      <c r="E279">
        <v>21</v>
      </c>
      <c r="F279" t="s">
        <v>25</v>
      </c>
      <c r="G279">
        <v>1.1000000000000001</v>
      </c>
    </row>
    <row r="280" spans="1:7" x14ac:dyDescent="0.3">
      <c r="A280">
        <v>449</v>
      </c>
      <c r="B280" t="s">
        <v>549</v>
      </c>
      <c r="C280">
        <v>13</v>
      </c>
      <c r="D280" t="s">
        <v>8</v>
      </c>
      <c r="E280">
        <v>34</v>
      </c>
      <c r="F280" t="s">
        <v>132</v>
      </c>
      <c r="G280">
        <v>2.2200000000000002</v>
      </c>
    </row>
    <row r="281" spans="1:7" x14ac:dyDescent="0.3">
      <c r="A281">
        <v>656</v>
      </c>
      <c r="B281" t="s">
        <v>690</v>
      </c>
      <c r="C281">
        <v>26</v>
      </c>
      <c r="D281" t="s">
        <v>8</v>
      </c>
      <c r="E281">
        <v>115</v>
      </c>
      <c r="F281" t="s">
        <v>647</v>
      </c>
      <c r="G281">
        <v>2.04</v>
      </c>
    </row>
    <row r="282" spans="1:7" x14ac:dyDescent="0.3">
      <c r="A282">
        <v>135</v>
      </c>
      <c r="B282" t="s">
        <v>230</v>
      </c>
      <c r="C282">
        <v>30</v>
      </c>
      <c r="D282" t="s">
        <v>8</v>
      </c>
      <c r="E282">
        <v>146</v>
      </c>
      <c r="F282" t="s">
        <v>231</v>
      </c>
      <c r="G282">
        <v>3.1</v>
      </c>
    </row>
    <row r="283" spans="1:7" x14ac:dyDescent="0.3">
      <c r="A283">
        <v>368</v>
      </c>
      <c r="B283" t="s">
        <v>483</v>
      </c>
      <c r="C283">
        <v>20</v>
      </c>
      <c r="D283" t="s">
        <v>8</v>
      </c>
      <c r="E283">
        <v>3</v>
      </c>
      <c r="F283" t="s">
        <v>259</v>
      </c>
      <c r="G283">
        <v>2.4900000000000002</v>
      </c>
    </row>
    <row r="284" spans="1:7" x14ac:dyDescent="0.3">
      <c r="A284">
        <v>457</v>
      </c>
      <c r="B284" t="s">
        <v>556</v>
      </c>
      <c r="C284">
        <v>25</v>
      </c>
      <c r="D284" t="s">
        <v>8</v>
      </c>
      <c r="E284">
        <v>61</v>
      </c>
      <c r="F284" t="s">
        <v>557</v>
      </c>
      <c r="G284">
        <v>3.87</v>
      </c>
    </row>
    <row r="285" spans="1:7" x14ac:dyDescent="0.3">
      <c r="A285">
        <v>288</v>
      </c>
      <c r="B285" t="s">
        <v>406</v>
      </c>
      <c r="C285">
        <v>18</v>
      </c>
      <c r="D285" t="s">
        <v>8</v>
      </c>
      <c r="E285">
        <v>156</v>
      </c>
      <c r="F285" t="s">
        <v>407</v>
      </c>
      <c r="G285">
        <v>1.77</v>
      </c>
    </row>
    <row r="286" spans="1:7" x14ac:dyDescent="0.3">
      <c r="A286">
        <v>348</v>
      </c>
      <c r="B286" t="s">
        <v>406</v>
      </c>
      <c r="C286">
        <v>18</v>
      </c>
      <c r="D286" t="s">
        <v>8</v>
      </c>
      <c r="E286">
        <v>38</v>
      </c>
      <c r="F286" t="s">
        <v>425</v>
      </c>
      <c r="G286">
        <v>2.37</v>
      </c>
    </row>
    <row r="287" spans="1:7" x14ac:dyDescent="0.3">
      <c r="A287">
        <v>105</v>
      </c>
      <c r="B287" t="s">
        <v>186</v>
      </c>
      <c r="C287">
        <v>27</v>
      </c>
      <c r="D287" t="s">
        <v>8</v>
      </c>
      <c r="E287">
        <v>10</v>
      </c>
      <c r="F287" t="s">
        <v>187</v>
      </c>
      <c r="G287">
        <v>1.79</v>
      </c>
    </row>
    <row r="288" spans="1:7" x14ac:dyDescent="0.3">
      <c r="A288">
        <v>209</v>
      </c>
      <c r="B288" t="s">
        <v>324</v>
      </c>
      <c r="C288">
        <v>22</v>
      </c>
      <c r="D288" t="s">
        <v>8</v>
      </c>
      <c r="E288">
        <v>162</v>
      </c>
      <c r="F288" t="s">
        <v>23</v>
      </c>
      <c r="G288">
        <v>2.67</v>
      </c>
    </row>
    <row r="289" spans="1:7" x14ac:dyDescent="0.3">
      <c r="A289">
        <v>510</v>
      </c>
      <c r="B289" t="s">
        <v>599</v>
      </c>
      <c r="C289">
        <v>22</v>
      </c>
      <c r="D289" t="s">
        <v>8</v>
      </c>
      <c r="E289">
        <v>162</v>
      </c>
      <c r="F289" t="s">
        <v>23</v>
      </c>
      <c r="G289">
        <v>2.67</v>
      </c>
    </row>
    <row r="290" spans="1:7" x14ac:dyDescent="0.3">
      <c r="A290">
        <v>638</v>
      </c>
      <c r="B290" t="s">
        <v>677</v>
      </c>
      <c r="C290">
        <v>24</v>
      </c>
      <c r="D290" t="s">
        <v>8</v>
      </c>
      <c r="E290">
        <v>22</v>
      </c>
      <c r="F290" t="s">
        <v>106</v>
      </c>
      <c r="G290">
        <v>2.1800000000000002</v>
      </c>
    </row>
    <row r="291" spans="1:7" x14ac:dyDescent="0.3">
      <c r="A291">
        <v>486</v>
      </c>
      <c r="B291" t="s">
        <v>581</v>
      </c>
      <c r="C291">
        <v>9</v>
      </c>
      <c r="D291" t="s">
        <v>8</v>
      </c>
      <c r="E291">
        <v>53</v>
      </c>
      <c r="F291" t="s">
        <v>80</v>
      </c>
      <c r="G291">
        <v>2.0499999999999998</v>
      </c>
    </row>
    <row r="292" spans="1:7" x14ac:dyDescent="0.3">
      <c r="A292">
        <v>732</v>
      </c>
      <c r="B292" t="s">
        <v>581</v>
      </c>
      <c r="C292">
        <v>9</v>
      </c>
      <c r="D292" t="s">
        <v>8</v>
      </c>
      <c r="E292">
        <v>97</v>
      </c>
      <c r="F292" t="s">
        <v>348</v>
      </c>
      <c r="G292">
        <v>2.5</v>
      </c>
    </row>
    <row r="293" spans="1:7" x14ac:dyDescent="0.3">
      <c r="A293">
        <v>397</v>
      </c>
      <c r="B293" t="s">
        <v>510</v>
      </c>
      <c r="C293">
        <v>25</v>
      </c>
      <c r="D293" t="s">
        <v>8</v>
      </c>
      <c r="E293">
        <v>100</v>
      </c>
      <c r="F293" t="s">
        <v>15</v>
      </c>
      <c r="G293">
        <v>3.27</v>
      </c>
    </row>
    <row r="294" spans="1:7" x14ac:dyDescent="0.3">
      <c r="A294">
        <v>27</v>
      </c>
      <c r="B294" t="s">
        <v>63</v>
      </c>
      <c r="C294">
        <v>7</v>
      </c>
      <c r="D294" t="s">
        <v>8</v>
      </c>
      <c r="E294">
        <v>96</v>
      </c>
      <c r="F294" t="s">
        <v>64</v>
      </c>
      <c r="G294">
        <v>3.09</v>
      </c>
    </row>
    <row r="295" spans="1:7" x14ac:dyDescent="0.3">
      <c r="A295">
        <v>648</v>
      </c>
      <c r="B295" t="s">
        <v>686</v>
      </c>
      <c r="C295">
        <v>39</v>
      </c>
      <c r="D295" t="s">
        <v>8</v>
      </c>
      <c r="E295">
        <v>150</v>
      </c>
      <c r="F295" t="s">
        <v>202</v>
      </c>
      <c r="G295">
        <v>2.85</v>
      </c>
    </row>
    <row r="296" spans="1:7" x14ac:dyDescent="0.3">
      <c r="A296">
        <v>738</v>
      </c>
      <c r="B296" t="s">
        <v>742</v>
      </c>
      <c r="C296">
        <v>36</v>
      </c>
      <c r="D296" t="s">
        <v>8</v>
      </c>
      <c r="E296">
        <v>121</v>
      </c>
      <c r="F296" t="s">
        <v>463</v>
      </c>
      <c r="G296">
        <v>1.6</v>
      </c>
    </row>
    <row r="297" spans="1:7" x14ac:dyDescent="0.3">
      <c r="A297">
        <v>371</v>
      </c>
      <c r="B297" t="s">
        <v>484</v>
      </c>
      <c r="C297">
        <v>23</v>
      </c>
      <c r="D297" t="s">
        <v>8</v>
      </c>
      <c r="E297">
        <v>155</v>
      </c>
      <c r="F297" t="s">
        <v>399</v>
      </c>
      <c r="G297">
        <v>1.01</v>
      </c>
    </row>
    <row r="298" spans="1:7" x14ac:dyDescent="0.3">
      <c r="A298">
        <v>715</v>
      </c>
      <c r="B298" t="s">
        <v>484</v>
      </c>
      <c r="C298">
        <v>23</v>
      </c>
      <c r="D298" t="s">
        <v>8</v>
      </c>
      <c r="E298">
        <v>8</v>
      </c>
      <c r="F298" t="s">
        <v>237</v>
      </c>
      <c r="G298">
        <v>3.93</v>
      </c>
    </row>
    <row r="299" spans="1:7" x14ac:dyDescent="0.3">
      <c r="A299">
        <v>453</v>
      </c>
      <c r="B299" t="s">
        <v>553</v>
      </c>
      <c r="C299">
        <v>24</v>
      </c>
      <c r="D299" t="s">
        <v>8</v>
      </c>
      <c r="E299">
        <v>70</v>
      </c>
      <c r="F299" t="s">
        <v>379</v>
      </c>
      <c r="G299">
        <v>1.03</v>
      </c>
    </row>
    <row r="300" spans="1:7" x14ac:dyDescent="0.3">
      <c r="A300">
        <v>473</v>
      </c>
      <c r="B300" t="s">
        <v>572</v>
      </c>
      <c r="C300">
        <v>21</v>
      </c>
      <c r="D300" t="s">
        <v>8</v>
      </c>
      <c r="E300">
        <v>25</v>
      </c>
      <c r="F300" t="s">
        <v>114</v>
      </c>
      <c r="G300">
        <v>4.3499999999999996</v>
      </c>
    </row>
    <row r="301" spans="1:7" x14ac:dyDescent="0.3">
      <c r="A301">
        <v>143</v>
      </c>
      <c r="B301" t="s">
        <v>240</v>
      </c>
      <c r="C301">
        <v>34</v>
      </c>
      <c r="D301" t="s">
        <v>8</v>
      </c>
      <c r="E301">
        <v>124</v>
      </c>
      <c r="F301" t="s">
        <v>146</v>
      </c>
      <c r="G301">
        <v>1.29</v>
      </c>
    </row>
    <row r="302" spans="1:7" x14ac:dyDescent="0.3">
      <c r="A302">
        <v>23</v>
      </c>
      <c r="B302" t="s">
        <v>55</v>
      </c>
      <c r="C302">
        <v>40</v>
      </c>
      <c r="D302" t="s">
        <v>8</v>
      </c>
      <c r="E302">
        <v>151</v>
      </c>
      <c r="F302" t="s">
        <v>56</v>
      </c>
      <c r="G302">
        <v>3.4</v>
      </c>
    </row>
    <row r="303" spans="1:7" x14ac:dyDescent="0.3">
      <c r="A303">
        <v>156</v>
      </c>
      <c r="B303" t="s">
        <v>55</v>
      </c>
      <c r="C303">
        <v>40</v>
      </c>
      <c r="D303" t="s">
        <v>8</v>
      </c>
      <c r="E303">
        <v>117</v>
      </c>
      <c r="F303" t="s">
        <v>207</v>
      </c>
      <c r="G303">
        <v>1.79</v>
      </c>
    </row>
    <row r="304" spans="1:7" x14ac:dyDescent="0.3">
      <c r="A304">
        <v>605</v>
      </c>
      <c r="B304" t="s">
        <v>661</v>
      </c>
      <c r="C304">
        <v>18</v>
      </c>
      <c r="D304" t="s">
        <v>8</v>
      </c>
      <c r="E304">
        <v>159</v>
      </c>
      <c r="F304" t="s">
        <v>327</v>
      </c>
      <c r="G304">
        <v>3.08</v>
      </c>
    </row>
    <row r="305" spans="1:7" x14ac:dyDescent="0.3">
      <c r="A305">
        <v>31</v>
      </c>
      <c r="B305" t="s">
        <v>71</v>
      </c>
      <c r="C305">
        <v>37</v>
      </c>
      <c r="D305" t="s">
        <v>8</v>
      </c>
      <c r="E305">
        <v>179</v>
      </c>
      <c r="F305" t="s">
        <v>72</v>
      </c>
      <c r="G305">
        <v>4.4800000000000004</v>
      </c>
    </row>
    <row r="306" spans="1:7" x14ac:dyDescent="0.3">
      <c r="A306">
        <v>594</v>
      </c>
      <c r="B306" t="s">
        <v>655</v>
      </c>
      <c r="C306">
        <v>27</v>
      </c>
      <c r="D306" t="s">
        <v>8</v>
      </c>
      <c r="E306">
        <v>89</v>
      </c>
      <c r="F306" t="s">
        <v>48</v>
      </c>
      <c r="G306">
        <v>4.6399999999999997</v>
      </c>
    </row>
    <row r="307" spans="1:7" x14ac:dyDescent="0.3">
      <c r="A307">
        <v>632</v>
      </c>
      <c r="B307" t="s">
        <v>674</v>
      </c>
      <c r="C307">
        <v>17</v>
      </c>
      <c r="D307" t="s">
        <v>8</v>
      </c>
      <c r="E307">
        <v>160</v>
      </c>
      <c r="F307" t="s">
        <v>78</v>
      </c>
      <c r="G307">
        <v>4.4000000000000004</v>
      </c>
    </row>
    <row r="308" spans="1:7" x14ac:dyDescent="0.3">
      <c r="A308">
        <v>577</v>
      </c>
      <c r="B308" t="s">
        <v>643</v>
      </c>
      <c r="C308">
        <v>19</v>
      </c>
      <c r="D308" t="s">
        <v>8</v>
      </c>
      <c r="E308">
        <v>128</v>
      </c>
      <c r="F308" t="s">
        <v>402</v>
      </c>
      <c r="G308">
        <v>4.91</v>
      </c>
    </row>
    <row r="309" spans="1:7" x14ac:dyDescent="0.3">
      <c r="A309">
        <v>284</v>
      </c>
      <c r="B309" t="s">
        <v>401</v>
      </c>
      <c r="C309">
        <v>24</v>
      </c>
      <c r="D309" t="s">
        <v>8</v>
      </c>
      <c r="E309">
        <v>128</v>
      </c>
      <c r="F309" t="s">
        <v>402</v>
      </c>
      <c r="G309">
        <v>4.91</v>
      </c>
    </row>
    <row r="310" spans="1:7" x14ac:dyDescent="0.3">
      <c r="A310">
        <v>693</v>
      </c>
      <c r="B310" t="s">
        <v>712</v>
      </c>
      <c r="C310">
        <v>23</v>
      </c>
      <c r="D310" t="s">
        <v>8</v>
      </c>
      <c r="E310">
        <v>88</v>
      </c>
      <c r="F310" t="s">
        <v>148</v>
      </c>
      <c r="G310">
        <v>3.75</v>
      </c>
    </row>
    <row r="311" spans="1:7" x14ac:dyDescent="0.3">
      <c r="A311">
        <v>498</v>
      </c>
      <c r="B311" t="s">
        <v>591</v>
      </c>
      <c r="C311">
        <v>35</v>
      </c>
      <c r="D311" t="s">
        <v>8</v>
      </c>
      <c r="E311">
        <v>108</v>
      </c>
      <c r="F311" t="s">
        <v>9</v>
      </c>
      <c r="G311">
        <v>3.53</v>
      </c>
    </row>
    <row r="312" spans="1:7" x14ac:dyDescent="0.3">
      <c r="A312">
        <v>173</v>
      </c>
      <c r="B312" t="s">
        <v>275</v>
      </c>
      <c r="C312">
        <v>30</v>
      </c>
      <c r="D312" t="s">
        <v>8</v>
      </c>
      <c r="E312">
        <v>5</v>
      </c>
      <c r="F312" t="s">
        <v>276</v>
      </c>
      <c r="G312">
        <v>4.08</v>
      </c>
    </row>
    <row r="313" spans="1:7" x14ac:dyDescent="0.3">
      <c r="A313">
        <v>403</v>
      </c>
      <c r="B313" t="s">
        <v>515</v>
      </c>
      <c r="C313">
        <v>24</v>
      </c>
      <c r="D313" t="s">
        <v>8</v>
      </c>
      <c r="E313">
        <v>162</v>
      </c>
      <c r="F313" t="s">
        <v>23</v>
      </c>
      <c r="G313">
        <v>2.67</v>
      </c>
    </row>
    <row r="314" spans="1:7" x14ac:dyDescent="0.3">
      <c r="A314">
        <v>301</v>
      </c>
      <c r="B314" t="s">
        <v>419</v>
      </c>
      <c r="C314">
        <v>25</v>
      </c>
      <c r="D314" t="s">
        <v>8</v>
      </c>
      <c r="E314">
        <v>106</v>
      </c>
      <c r="F314" t="s">
        <v>420</v>
      </c>
      <c r="G314">
        <v>3.41</v>
      </c>
    </row>
    <row r="315" spans="1:7" x14ac:dyDescent="0.3">
      <c r="A315">
        <v>463</v>
      </c>
      <c r="B315" t="s">
        <v>419</v>
      </c>
      <c r="C315">
        <v>25</v>
      </c>
      <c r="D315" t="s">
        <v>8</v>
      </c>
      <c r="E315">
        <v>48</v>
      </c>
      <c r="F315" t="s">
        <v>563</v>
      </c>
      <c r="G315">
        <v>2.48</v>
      </c>
    </row>
    <row r="316" spans="1:7" x14ac:dyDescent="0.3">
      <c r="A316">
        <v>194</v>
      </c>
      <c r="B316" t="s">
        <v>307</v>
      </c>
      <c r="C316">
        <v>20</v>
      </c>
      <c r="D316" t="s">
        <v>8</v>
      </c>
      <c r="E316">
        <v>73</v>
      </c>
      <c r="F316" t="s">
        <v>84</v>
      </c>
      <c r="G316">
        <v>2.0499999999999998</v>
      </c>
    </row>
    <row r="317" spans="1:7" x14ac:dyDescent="0.3">
      <c r="A317">
        <v>557</v>
      </c>
      <c r="B317" t="s">
        <v>631</v>
      </c>
      <c r="C317">
        <v>42</v>
      </c>
      <c r="D317" t="s">
        <v>8</v>
      </c>
      <c r="E317">
        <v>8</v>
      </c>
      <c r="F317" t="s">
        <v>237</v>
      </c>
      <c r="G317">
        <v>3.93</v>
      </c>
    </row>
    <row r="318" spans="1:7" x14ac:dyDescent="0.3">
      <c r="A318">
        <v>743</v>
      </c>
      <c r="B318" t="s">
        <v>746</v>
      </c>
      <c r="C318">
        <v>15</v>
      </c>
      <c r="D318" t="s">
        <v>8</v>
      </c>
      <c r="E318">
        <v>110</v>
      </c>
      <c r="F318" t="s">
        <v>105</v>
      </c>
      <c r="G318">
        <v>1.44</v>
      </c>
    </row>
    <row r="319" spans="1:7" x14ac:dyDescent="0.3">
      <c r="A319">
        <v>103</v>
      </c>
      <c r="B319" t="s">
        <v>184</v>
      </c>
      <c r="C319">
        <v>24</v>
      </c>
      <c r="D319" t="s">
        <v>8</v>
      </c>
      <c r="E319">
        <v>7</v>
      </c>
      <c r="F319" t="s">
        <v>90</v>
      </c>
      <c r="G319">
        <v>1.33</v>
      </c>
    </row>
    <row r="320" spans="1:7" x14ac:dyDescent="0.3">
      <c r="A320">
        <v>126</v>
      </c>
      <c r="B320" t="s">
        <v>184</v>
      </c>
      <c r="C320">
        <v>24</v>
      </c>
      <c r="D320" t="s">
        <v>8</v>
      </c>
      <c r="E320">
        <v>75</v>
      </c>
      <c r="F320" t="s">
        <v>218</v>
      </c>
      <c r="G320">
        <v>2.42</v>
      </c>
    </row>
    <row r="321" spans="1:7" x14ac:dyDescent="0.3">
      <c r="A321">
        <v>753</v>
      </c>
      <c r="B321" t="s">
        <v>753</v>
      </c>
      <c r="C321">
        <v>36</v>
      </c>
      <c r="D321" t="s">
        <v>8</v>
      </c>
      <c r="E321">
        <v>178</v>
      </c>
      <c r="F321" t="s">
        <v>60</v>
      </c>
      <c r="G321">
        <v>4.2300000000000004</v>
      </c>
    </row>
    <row r="322" spans="1:7" x14ac:dyDescent="0.3">
      <c r="A322">
        <v>191</v>
      </c>
      <c r="B322" t="s">
        <v>304</v>
      </c>
      <c r="C322">
        <v>23</v>
      </c>
      <c r="D322" t="s">
        <v>8</v>
      </c>
      <c r="E322">
        <v>87</v>
      </c>
      <c r="F322" t="s">
        <v>210</v>
      </c>
      <c r="G322">
        <v>4.43</v>
      </c>
    </row>
    <row r="323" spans="1:7" x14ac:dyDescent="0.3">
      <c r="A323">
        <v>361</v>
      </c>
      <c r="B323" t="s">
        <v>477</v>
      </c>
      <c r="C323">
        <v>25</v>
      </c>
      <c r="D323" t="s">
        <v>8</v>
      </c>
      <c r="E323">
        <v>19</v>
      </c>
      <c r="F323" t="s">
        <v>358</v>
      </c>
      <c r="G323">
        <v>1.02</v>
      </c>
    </row>
    <row r="324" spans="1:7" x14ac:dyDescent="0.3">
      <c r="A324">
        <v>502</v>
      </c>
      <c r="B324" t="s">
        <v>595</v>
      </c>
      <c r="C324">
        <v>20</v>
      </c>
      <c r="D324" t="s">
        <v>8</v>
      </c>
      <c r="E324">
        <v>16</v>
      </c>
      <c r="F324" t="s">
        <v>354</v>
      </c>
      <c r="G324">
        <v>3.55</v>
      </c>
    </row>
    <row r="325" spans="1:7" x14ac:dyDescent="0.3">
      <c r="A325">
        <v>556</v>
      </c>
      <c r="B325" t="s">
        <v>595</v>
      </c>
      <c r="C325">
        <v>20</v>
      </c>
      <c r="D325" t="s">
        <v>8</v>
      </c>
      <c r="E325">
        <v>64</v>
      </c>
      <c r="F325" t="s">
        <v>486</v>
      </c>
      <c r="G325">
        <v>4.82</v>
      </c>
    </row>
    <row r="326" spans="1:7" x14ac:dyDescent="0.3">
      <c r="A326">
        <v>610</v>
      </c>
      <c r="B326" t="s">
        <v>663</v>
      </c>
      <c r="C326">
        <v>7</v>
      </c>
      <c r="D326" t="s">
        <v>8</v>
      </c>
      <c r="E326">
        <v>159</v>
      </c>
      <c r="F326" t="s">
        <v>327</v>
      </c>
      <c r="G326">
        <v>3.08</v>
      </c>
    </row>
    <row r="327" spans="1:7" x14ac:dyDescent="0.3">
      <c r="A327">
        <v>430</v>
      </c>
      <c r="B327" t="s">
        <v>535</v>
      </c>
      <c r="C327">
        <v>15</v>
      </c>
      <c r="D327" t="s">
        <v>8</v>
      </c>
      <c r="E327">
        <v>164</v>
      </c>
      <c r="F327" t="s">
        <v>175</v>
      </c>
      <c r="G327">
        <v>1.63</v>
      </c>
    </row>
    <row r="328" spans="1:7" x14ac:dyDescent="0.3">
      <c r="A328">
        <v>345</v>
      </c>
      <c r="B328" t="s">
        <v>462</v>
      </c>
      <c r="C328">
        <v>19</v>
      </c>
      <c r="D328" t="s">
        <v>8</v>
      </c>
      <c r="E328">
        <v>2</v>
      </c>
      <c r="F328" t="s">
        <v>229</v>
      </c>
      <c r="G328">
        <v>2.48</v>
      </c>
    </row>
    <row r="329" spans="1:7" x14ac:dyDescent="0.3">
      <c r="A329">
        <v>533</v>
      </c>
      <c r="B329" t="s">
        <v>462</v>
      </c>
      <c r="C329">
        <v>19</v>
      </c>
      <c r="D329" t="s">
        <v>8</v>
      </c>
      <c r="E329">
        <v>48</v>
      </c>
      <c r="F329" t="s">
        <v>563</v>
      </c>
      <c r="G329">
        <v>2.48</v>
      </c>
    </row>
    <row r="330" spans="1:7" x14ac:dyDescent="0.3">
      <c r="A330">
        <v>628</v>
      </c>
      <c r="B330" t="s">
        <v>462</v>
      </c>
      <c r="C330">
        <v>19</v>
      </c>
      <c r="D330" t="s">
        <v>8</v>
      </c>
      <c r="E330">
        <v>167</v>
      </c>
      <c r="F330" t="s">
        <v>394</v>
      </c>
      <c r="G330">
        <v>3.61</v>
      </c>
    </row>
    <row r="331" spans="1:7" x14ac:dyDescent="0.3">
      <c r="A331">
        <v>378</v>
      </c>
      <c r="B331" t="s">
        <v>491</v>
      </c>
      <c r="C331">
        <v>23</v>
      </c>
      <c r="D331" t="s">
        <v>8</v>
      </c>
      <c r="E331">
        <v>96</v>
      </c>
      <c r="F331" t="s">
        <v>64</v>
      </c>
      <c r="G331">
        <v>3.09</v>
      </c>
    </row>
    <row r="332" spans="1:7" x14ac:dyDescent="0.3">
      <c r="A332">
        <v>227</v>
      </c>
      <c r="B332" t="s">
        <v>341</v>
      </c>
      <c r="C332">
        <v>18</v>
      </c>
      <c r="D332" t="s">
        <v>8</v>
      </c>
      <c r="E332">
        <v>24</v>
      </c>
      <c r="F332" t="s">
        <v>54</v>
      </c>
      <c r="G332">
        <v>3.81</v>
      </c>
    </row>
    <row r="333" spans="1:7" x14ac:dyDescent="0.3">
      <c r="A333">
        <v>259</v>
      </c>
      <c r="B333" t="s">
        <v>377</v>
      </c>
      <c r="C333">
        <v>20</v>
      </c>
      <c r="D333" t="s">
        <v>8</v>
      </c>
      <c r="E333">
        <v>72</v>
      </c>
      <c r="F333" t="s">
        <v>92</v>
      </c>
      <c r="G333">
        <v>3.77</v>
      </c>
    </row>
    <row r="334" spans="1:7" x14ac:dyDescent="0.3">
      <c r="A334">
        <v>45</v>
      </c>
      <c r="B334" t="s">
        <v>96</v>
      </c>
      <c r="C334">
        <v>23</v>
      </c>
      <c r="D334" t="s">
        <v>8</v>
      </c>
      <c r="E334">
        <v>181</v>
      </c>
      <c r="F334" t="s">
        <v>97</v>
      </c>
      <c r="G334">
        <v>1.66</v>
      </c>
    </row>
    <row r="335" spans="1:7" x14ac:dyDescent="0.3">
      <c r="A335">
        <v>643</v>
      </c>
      <c r="B335" t="s">
        <v>682</v>
      </c>
      <c r="C335">
        <v>21</v>
      </c>
      <c r="D335" t="s">
        <v>8</v>
      </c>
      <c r="E335">
        <v>93</v>
      </c>
      <c r="F335" t="s">
        <v>523</v>
      </c>
      <c r="G335">
        <v>1.97</v>
      </c>
    </row>
    <row r="336" spans="1:7" x14ac:dyDescent="0.3">
      <c r="A336">
        <v>147</v>
      </c>
      <c r="B336" t="s">
        <v>244</v>
      </c>
      <c r="C336">
        <v>35</v>
      </c>
      <c r="D336" t="s">
        <v>8</v>
      </c>
      <c r="E336">
        <v>24</v>
      </c>
      <c r="F336" t="s">
        <v>54</v>
      </c>
      <c r="G336">
        <v>3.81</v>
      </c>
    </row>
    <row r="337" spans="1:7" x14ac:dyDescent="0.3">
      <c r="A337">
        <v>33</v>
      </c>
      <c r="B337" t="s">
        <v>75</v>
      </c>
      <c r="C337">
        <v>7</v>
      </c>
      <c r="D337" t="s">
        <v>8</v>
      </c>
      <c r="E337">
        <v>44</v>
      </c>
      <c r="F337" t="s">
        <v>76</v>
      </c>
      <c r="G337">
        <v>2.38</v>
      </c>
    </row>
    <row r="338" spans="1:7" x14ac:dyDescent="0.3">
      <c r="A338">
        <v>78</v>
      </c>
      <c r="B338" t="s">
        <v>75</v>
      </c>
      <c r="C338">
        <v>7</v>
      </c>
      <c r="D338" t="s">
        <v>8</v>
      </c>
      <c r="E338">
        <v>50</v>
      </c>
      <c r="F338" t="s">
        <v>151</v>
      </c>
      <c r="G338">
        <v>4.5999999999999996</v>
      </c>
    </row>
    <row r="339" spans="1:7" x14ac:dyDescent="0.3">
      <c r="A339">
        <v>515</v>
      </c>
      <c r="B339" t="s">
        <v>75</v>
      </c>
      <c r="C339">
        <v>7</v>
      </c>
      <c r="D339" t="s">
        <v>8</v>
      </c>
      <c r="E339">
        <v>40</v>
      </c>
      <c r="F339" t="s">
        <v>42</v>
      </c>
      <c r="G339">
        <v>2.52</v>
      </c>
    </row>
    <row r="340" spans="1:7" x14ac:dyDescent="0.3">
      <c r="A340">
        <v>11</v>
      </c>
      <c r="B340" t="s">
        <v>31</v>
      </c>
      <c r="C340">
        <v>23</v>
      </c>
      <c r="D340" t="s">
        <v>8</v>
      </c>
      <c r="E340">
        <v>162</v>
      </c>
      <c r="F340" t="s">
        <v>23</v>
      </c>
      <c r="G340">
        <v>2.67</v>
      </c>
    </row>
    <row r="341" spans="1:7" x14ac:dyDescent="0.3">
      <c r="A341">
        <v>99</v>
      </c>
      <c r="B341" t="s">
        <v>31</v>
      </c>
      <c r="C341">
        <v>23</v>
      </c>
      <c r="D341" t="s">
        <v>8</v>
      </c>
      <c r="E341">
        <v>101</v>
      </c>
      <c r="F341" t="s">
        <v>13</v>
      </c>
      <c r="G341">
        <v>4.1900000000000004</v>
      </c>
    </row>
    <row r="342" spans="1:7" x14ac:dyDescent="0.3">
      <c r="A342">
        <v>773</v>
      </c>
      <c r="B342" t="s">
        <v>760</v>
      </c>
      <c r="C342">
        <v>21</v>
      </c>
      <c r="D342" t="s">
        <v>8</v>
      </c>
      <c r="E342">
        <v>19</v>
      </c>
      <c r="F342" t="s">
        <v>358</v>
      </c>
      <c r="G342">
        <v>1.02</v>
      </c>
    </row>
    <row r="343" spans="1:7" x14ac:dyDescent="0.3">
      <c r="A343">
        <v>598</v>
      </c>
      <c r="B343" t="s">
        <v>657</v>
      </c>
      <c r="C343">
        <v>22</v>
      </c>
      <c r="D343" t="s">
        <v>8</v>
      </c>
      <c r="E343">
        <v>111</v>
      </c>
      <c r="F343" t="s">
        <v>256</v>
      </c>
      <c r="G343">
        <v>4.8899999999999997</v>
      </c>
    </row>
    <row r="344" spans="1:7" x14ac:dyDescent="0.3">
      <c r="A344">
        <v>685</v>
      </c>
      <c r="B344" t="s">
        <v>657</v>
      </c>
      <c r="C344">
        <v>22</v>
      </c>
      <c r="D344" t="s">
        <v>8</v>
      </c>
      <c r="E344">
        <v>34</v>
      </c>
      <c r="F344" t="s">
        <v>132</v>
      </c>
      <c r="G344">
        <v>2.2200000000000002</v>
      </c>
    </row>
    <row r="345" spans="1:7" x14ac:dyDescent="0.3">
      <c r="A345">
        <v>375</v>
      </c>
      <c r="B345" t="s">
        <v>488</v>
      </c>
      <c r="C345">
        <v>25</v>
      </c>
      <c r="D345" t="s">
        <v>8</v>
      </c>
      <c r="E345">
        <v>181</v>
      </c>
      <c r="F345" t="s">
        <v>97</v>
      </c>
      <c r="G345">
        <v>1.66</v>
      </c>
    </row>
    <row r="346" spans="1:7" x14ac:dyDescent="0.3">
      <c r="A346">
        <v>665</v>
      </c>
      <c r="B346" t="s">
        <v>697</v>
      </c>
      <c r="C346">
        <v>17</v>
      </c>
      <c r="D346" t="s">
        <v>8</v>
      </c>
      <c r="E346">
        <v>73</v>
      </c>
      <c r="F346" t="s">
        <v>84</v>
      </c>
      <c r="G346">
        <v>2.0499999999999998</v>
      </c>
    </row>
    <row r="347" spans="1:7" x14ac:dyDescent="0.3">
      <c r="A347">
        <v>271</v>
      </c>
      <c r="B347" t="s">
        <v>387</v>
      </c>
      <c r="C347">
        <v>22</v>
      </c>
      <c r="D347" t="s">
        <v>8</v>
      </c>
      <c r="E347">
        <v>166</v>
      </c>
      <c r="F347" t="s">
        <v>388</v>
      </c>
      <c r="G347">
        <v>3.07</v>
      </c>
    </row>
    <row r="348" spans="1:7" x14ac:dyDescent="0.3">
      <c r="A348">
        <v>101</v>
      </c>
      <c r="B348" t="s">
        <v>181</v>
      </c>
      <c r="C348">
        <v>21</v>
      </c>
      <c r="D348" t="s">
        <v>8</v>
      </c>
      <c r="E348">
        <v>174</v>
      </c>
      <c r="F348" t="s">
        <v>155</v>
      </c>
      <c r="G348">
        <v>3.47</v>
      </c>
    </row>
    <row r="349" spans="1:7" x14ac:dyDescent="0.3">
      <c r="A349">
        <v>441</v>
      </c>
      <c r="B349" t="s">
        <v>544</v>
      </c>
      <c r="C349">
        <v>15</v>
      </c>
      <c r="D349" t="s">
        <v>8</v>
      </c>
      <c r="E349">
        <v>156</v>
      </c>
      <c r="F349" t="s">
        <v>407</v>
      </c>
      <c r="G349">
        <v>1.77</v>
      </c>
    </row>
    <row r="350" spans="1:7" x14ac:dyDescent="0.3">
      <c r="A350">
        <v>552</v>
      </c>
      <c r="B350" t="s">
        <v>544</v>
      </c>
      <c r="C350">
        <v>15</v>
      </c>
      <c r="D350" t="s">
        <v>8</v>
      </c>
      <c r="E350">
        <v>155</v>
      </c>
      <c r="F350" t="s">
        <v>399</v>
      </c>
      <c r="G350">
        <v>1.01</v>
      </c>
    </row>
    <row r="351" spans="1:7" x14ac:dyDescent="0.3">
      <c r="A351">
        <v>599</v>
      </c>
      <c r="B351" t="s">
        <v>544</v>
      </c>
      <c r="C351">
        <v>15</v>
      </c>
      <c r="D351" t="s">
        <v>8</v>
      </c>
      <c r="E351">
        <v>13</v>
      </c>
      <c r="F351" t="s">
        <v>204</v>
      </c>
      <c r="G351">
        <v>1.41</v>
      </c>
    </row>
    <row r="352" spans="1:7" x14ac:dyDescent="0.3">
      <c r="A352">
        <v>393</v>
      </c>
      <c r="B352" t="s">
        <v>506</v>
      </c>
      <c r="C352">
        <v>20</v>
      </c>
      <c r="D352" t="s">
        <v>8</v>
      </c>
      <c r="E352">
        <v>54</v>
      </c>
      <c r="F352" t="s">
        <v>189</v>
      </c>
      <c r="G352">
        <v>2.5</v>
      </c>
    </row>
    <row r="353" spans="1:7" x14ac:dyDescent="0.3">
      <c r="A353">
        <v>189</v>
      </c>
      <c r="B353" t="s">
        <v>300</v>
      </c>
      <c r="C353">
        <v>23</v>
      </c>
      <c r="D353" t="s">
        <v>8</v>
      </c>
      <c r="E353">
        <v>63</v>
      </c>
      <c r="F353" t="s">
        <v>301</v>
      </c>
      <c r="G353">
        <v>4.99</v>
      </c>
    </row>
    <row r="354" spans="1:7" x14ac:dyDescent="0.3">
      <c r="A354">
        <v>325</v>
      </c>
      <c r="B354" t="s">
        <v>300</v>
      </c>
      <c r="C354">
        <v>23</v>
      </c>
      <c r="D354" t="s">
        <v>8</v>
      </c>
      <c r="E354">
        <v>54</v>
      </c>
      <c r="F354" t="s">
        <v>189</v>
      </c>
      <c r="G354">
        <v>2.5</v>
      </c>
    </row>
    <row r="355" spans="1:7" x14ac:dyDescent="0.3">
      <c r="A355">
        <v>341</v>
      </c>
      <c r="B355" t="s">
        <v>458</v>
      </c>
      <c r="C355">
        <v>41</v>
      </c>
      <c r="D355" t="s">
        <v>8</v>
      </c>
      <c r="E355">
        <v>71</v>
      </c>
      <c r="F355" t="s">
        <v>62</v>
      </c>
      <c r="G355">
        <v>1.61</v>
      </c>
    </row>
    <row r="356" spans="1:7" x14ac:dyDescent="0.3">
      <c r="A356">
        <v>330</v>
      </c>
      <c r="B356" t="s">
        <v>445</v>
      </c>
      <c r="C356">
        <v>23</v>
      </c>
      <c r="D356" t="s">
        <v>8</v>
      </c>
      <c r="E356">
        <v>167</v>
      </c>
      <c r="F356" t="s">
        <v>394</v>
      </c>
      <c r="G356">
        <v>3.61</v>
      </c>
    </row>
    <row r="357" spans="1:7" x14ac:dyDescent="0.3">
      <c r="A357">
        <v>385</v>
      </c>
      <c r="B357" t="s">
        <v>498</v>
      </c>
      <c r="C357">
        <v>22</v>
      </c>
      <c r="D357" t="s">
        <v>8</v>
      </c>
      <c r="E357">
        <v>29</v>
      </c>
      <c r="F357" t="s">
        <v>140</v>
      </c>
      <c r="G357">
        <v>1.98</v>
      </c>
    </row>
    <row r="358" spans="1:7" x14ac:dyDescent="0.3">
      <c r="A358">
        <v>109</v>
      </c>
      <c r="B358" t="s">
        <v>194</v>
      </c>
      <c r="C358">
        <v>22</v>
      </c>
      <c r="D358" t="s">
        <v>8</v>
      </c>
      <c r="E358">
        <v>33</v>
      </c>
      <c r="F358" t="s">
        <v>161</v>
      </c>
      <c r="G358">
        <v>1.1599999999999999</v>
      </c>
    </row>
    <row r="359" spans="1:7" x14ac:dyDescent="0.3">
      <c r="A359">
        <v>366</v>
      </c>
      <c r="B359" t="s">
        <v>194</v>
      </c>
      <c r="C359">
        <v>22</v>
      </c>
      <c r="D359" t="s">
        <v>8</v>
      </c>
      <c r="E359">
        <v>31</v>
      </c>
      <c r="F359" t="s">
        <v>482</v>
      </c>
      <c r="G359">
        <v>1.55</v>
      </c>
    </row>
    <row r="360" spans="1:7" x14ac:dyDescent="0.3">
      <c r="A360">
        <v>432</v>
      </c>
      <c r="B360" t="s">
        <v>536</v>
      </c>
      <c r="C360">
        <v>18</v>
      </c>
      <c r="D360" t="s">
        <v>8</v>
      </c>
      <c r="E360">
        <v>120</v>
      </c>
      <c r="F360" t="s">
        <v>225</v>
      </c>
      <c r="G360">
        <v>3.08</v>
      </c>
    </row>
    <row r="361" spans="1:7" x14ac:dyDescent="0.3">
      <c r="A361">
        <v>154</v>
      </c>
      <c r="B361" t="s">
        <v>252</v>
      </c>
      <c r="C361">
        <v>20</v>
      </c>
      <c r="D361" t="s">
        <v>8</v>
      </c>
      <c r="E361">
        <v>59</v>
      </c>
      <c r="F361" t="s">
        <v>169</v>
      </c>
      <c r="G361">
        <v>4.2300000000000004</v>
      </c>
    </row>
    <row r="362" spans="1:7" x14ac:dyDescent="0.3">
      <c r="A362">
        <v>499</v>
      </c>
      <c r="B362" t="s">
        <v>592</v>
      </c>
      <c r="C362">
        <v>24</v>
      </c>
      <c r="D362" t="s">
        <v>8</v>
      </c>
      <c r="E362">
        <v>99</v>
      </c>
      <c r="F362" t="s">
        <v>191</v>
      </c>
      <c r="G362">
        <v>1.71</v>
      </c>
    </row>
    <row r="363" spans="1:7" x14ac:dyDescent="0.3">
      <c r="A363">
        <v>314</v>
      </c>
      <c r="B363" t="s">
        <v>432</v>
      </c>
      <c r="C363">
        <v>24</v>
      </c>
      <c r="D363" t="s">
        <v>8</v>
      </c>
      <c r="E363">
        <v>37</v>
      </c>
      <c r="F363" t="s">
        <v>68</v>
      </c>
      <c r="G363">
        <v>3.16</v>
      </c>
    </row>
    <row r="364" spans="1:7" x14ac:dyDescent="0.3">
      <c r="A364">
        <v>534</v>
      </c>
      <c r="B364" t="s">
        <v>616</v>
      </c>
      <c r="C364">
        <v>10</v>
      </c>
      <c r="D364" t="s">
        <v>8</v>
      </c>
      <c r="E364">
        <v>146</v>
      </c>
      <c r="F364" t="s">
        <v>231</v>
      </c>
      <c r="G364">
        <v>3.1</v>
      </c>
    </row>
    <row r="365" spans="1:7" x14ac:dyDescent="0.3">
      <c r="A365">
        <v>443</v>
      </c>
      <c r="B365" t="s">
        <v>545</v>
      </c>
      <c r="C365">
        <v>26</v>
      </c>
      <c r="D365" t="s">
        <v>8</v>
      </c>
      <c r="E365">
        <v>149</v>
      </c>
      <c r="F365" t="s">
        <v>320</v>
      </c>
      <c r="G365">
        <v>1.75</v>
      </c>
    </row>
    <row r="366" spans="1:7" x14ac:dyDescent="0.3">
      <c r="A366">
        <v>49</v>
      </c>
      <c r="B366" t="s">
        <v>104</v>
      </c>
      <c r="C366">
        <v>33</v>
      </c>
      <c r="D366" t="s">
        <v>8</v>
      </c>
      <c r="E366">
        <v>110</v>
      </c>
      <c r="F366" t="s">
        <v>105</v>
      </c>
      <c r="G366">
        <v>1.44</v>
      </c>
    </row>
    <row r="367" spans="1:7" x14ac:dyDescent="0.3">
      <c r="A367">
        <v>419</v>
      </c>
      <c r="B367" t="s">
        <v>104</v>
      </c>
      <c r="C367">
        <v>33</v>
      </c>
      <c r="D367" t="s">
        <v>8</v>
      </c>
      <c r="E367">
        <v>171</v>
      </c>
      <c r="F367" t="s">
        <v>413</v>
      </c>
      <c r="G367">
        <v>1.79</v>
      </c>
    </row>
    <row r="368" spans="1:7" x14ac:dyDescent="0.3">
      <c r="A368">
        <v>214</v>
      </c>
      <c r="B368" t="s">
        <v>329</v>
      </c>
      <c r="C368">
        <v>23</v>
      </c>
      <c r="D368" t="s">
        <v>8</v>
      </c>
      <c r="E368">
        <v>137</v>
      </c>
      <c r="F368" t="s">
        <v>330</v>
      </c>
      <c r="G368">
        <v>3.39</v>
      </c>
    </row>
    <row r="369" spans="1:7" x14ac:dyDescent="0.3">
      <c r="A369">
        <v>503</v>
      </c>
      <c r="B369" t="s">
        <v>329</v>
      </c>
      <c r="C369">
        <v>23</v>
      </c>
      <c r="D369" t="s">
        <v>8</v>
      </c>
      <c r="E369">
        <v>59</v>
      </c>
      <c r="F369" t="s">
        <v>169</v>
      </c>
      <c r="G369">
        <v>4.2300000000000004</v>
      </c>
    </row>
    <row r="370" spans="1:7" x14ac:dyDescent="0.3">
      <c r="A370">
        <v>424</v>
      </c>
      <c r="B370" t="s">
        <v>530</v>
      </c>
      <c r="C370">
        <v>10</v>
      </c>
      <c r="D370" t="s">
        <v>8</v>
      </c>
      <c r="E370">
        <v>149</v>
      </c>
      <c r="F370" t="s">
        <v>320</v>
      </c>
      <c r="G370">
        <v>1.75</v>
      </c>
    </row>
    <row r="371" spans="1:7" x14ac:dyDescent="0.3">
      <c r="A371">
        <v>679</v>
      </c>
      <c r="B371" t="s">
        <v>530</v>
      </c>
      <c r="C371">
        <v>10</v>
      </c>
      <c r="D371" t="s">
        <v>8</v>
      </c>
      <c r="E371">
        <v>153</v>
      </c>
      <c r="F371" t="s">
        <v>312</v>
      </c>
      <c r="G371">
        <v>3.74</v>
      </c>
    </row>
    <row r="372" spans="1:7" x14ac:dyDescent="0.3">
      <c r="A372">
        <v>313</v>
      </c>
      <c r="B372" t="s">
        <v>431</v>
      </c>
      <c r="C372">
        <v>23</v>
      </c>
      <c r="D372" t="s">
        <v>8</v>
      </c>
      <c r="E372">
        <v>182</v>
      </c>
      <c r="F372" t="s">
        <v>374</v>
      </c>
      <c r="G372">
        <v>4.03</v>
      </c>
    </row>
    <row r="373" spans="1:7" x14ac:dyDescent="0.3">
      <c r="A373">
        <v>559</v>
      </c>
      <c r="B373" t="s">
        <v>431</v>
      </c>
      <c r="C373">
        <v>23</v>
      </c>
      <c r="D373" t="s">
        <v>8</v>
      </c>
      <c r="E373">
        <v>34</v>
      </c>
      <c r="F373" t="s">
        <v>132</v>
      </c>
      <c r="G373">
        <v>2.2200000000000002</v>
      </c>
    </row>
    <row r="374" spans="1:7" x14ac:dyDescent="0.3">
      <c r="A374">
        <v>251</v>
      </c>
      <c r="B374" t="s">
        <v>369</v>
      </c>
      <c r="C374">
        <v>22</v>
      </c>
      <c r="D374" t="s">
        <v>8</v>
      </c>
      <c r="E374">
        <v>23</v>
      </c>
      <c r="F374" t="s">
        <v>212</v>
      </c>
      <c r="G374">
        <v>1.99</v>
      </c>
    </row>
    <row r="375" spans="1:7" x14ac:dyDescent="0.3">
      <c r="A375">
        <v>713</v>
      </c>
      <c r="B375" t="s">
        <v>369</v>
      </c>
      <c r="C375">
        <v>22</v>
      </c>
      <c r="D375" t="s">
        <v>8</v>
      </c>
      <c r="E375">
        <v>46</v>
      </c>
      <c r="F375" t="s">
        <v>243</v>
      </c>
      <c r="G375">
        <v>1.33</v>
      </c>
    </row>
    <row r="376" spans="1:7" x14ac:dyDescent="0.3">
      <c r="A376">
        <v>591</v>
      </c>
      <c r="B376" t="s">
        <v>653</v>
      </c>
      <c r="C376">
        <v>20</v>
      </c>
      <c r="D376" t="s">
        <v>8</v>
      </c>
      <c r="E376">
        <v>113</v>
      </c>
      <c r="F376" t="s">
        <v>309</v>
      </c>
      <c r="G376">
        <v>4.07</v>
      </c>
    </row>
    <row r="377" spans="1:7" x14ac:dyDescent="0.3">
      <c r="A377">
        <v>304</v>
      </c>
      <c r="B377" t="s">
        <v>423</v>
      </c>
      <c r="C377">
        <v>24</v>
      </c>
      <c r="D377" t="s">
        <v>8</v>
      </c>
      <c r="E377">
        <v>181</v>
      </c>
      <c r="F377" t="s">
        <v>97</v>
      </c>
      <c r="G377">
        <v>1.66</v>
      </c>
    </row>
    <row r="378" spans="1:7" x14ac:dyDescent="0.3">
      <c r="A378">
        <v>590</v>
      </c>
      <c r="B378" t="s">
        <v>652</v>
      </c>
      <c r="C378">
        <v>20</v>
      </c>
      <c r="D378" t="s">
        <v>8</v>
      </c>
      <c r="E378">
        <v>141</v>
      </c>
      <c r="F378" t="s">
        <v>58</v>
      </c>
      <c r="G378">
        <v>3.19</v>
      </c>
    </row>
    <row r="379" spans="1:7" x14ac:dyDescent="0.3">
      <c r="A379">
        <v>20</v>
      </c>
      <c r="B379" t="s">
        <v>49</v>
      </c>
      <c r="C379">
        <v>20</v>
      </c>
      <c r="D379" t="s">
        <v>8</v>
      </c>
      <c r="E379">
        <v>57</v>
      </c>
      <c r="F379" t="s">
        <v>50</v>
      </c>
      <c r="G379">
        <v>4.5999999999999996</v>
      </c>
    </row>
    <row r="380" spans="1:7" x14ac:dyDescent="0.3">
      <c r="A380">
        <v>673</v>
      </c>
      <c r="B380" t="s">
        <v>703</v>
      </c>
      <c r="C380">
        <v>30</v>
      </c>
      <c r="D380" t="s">
        <v>8</v>
      </c>
      <c r="E380">
        <v>130</v>
      </c>
      <c r="F380" t="s">
        <v>704</v>
      </c>
      <c r="G380">
        <v>2.0699999999999998</v>
      </c>
    </row>
    <row r="381" spans="1:7" x14ac:dyDescent="0.3">
      <c r="A381">
        <v>30</v>
      </c>
      <c r="B381" t="s">
        <v>69</v>
      </c>
      <c r="C381">
        <v>19</v>
      </c>
      <c r="D381" t="s">
        <v>8</v>
      </c>
      <c r="E381">
        <v>140</v>
      </c>
      <c r="F381" t="s">
        <v>70</v>
      </c>
      <c r="G381">
        <v>2.94</v>
      </c>
    </row>
    <row r="382" spans="1:7" x14ac:dyDescent="0.3">
      <c r="A382">
        <v>370</v>
      </c>
      <c r="B382" t="s">
        <v>69</v>
      </c>
      <c r="C382">
        <v>19</v>
      </c>
      <c r="D382" t="s">
        <v>8</v>
      </c>
      <c r="E382">
        <v>45</v>
      </c>
      <c r="F382" t="s">
        <v>453</v>
      </c>
      <c r="G382">
        <v>3.85</v>
      </c>
    </row>
    <row r="383" spans="1:7" x14ac:dyDescent="0.3">
      <c r="A383">
        <v>407</v>
      </c>
      <c r="B383" t="s">
        <v>69</v>
      </c>
      <c r="C383">
        <v>19</v>
      </c>
      <c r="D383" t="s">
        <v>8</v>
      </c>
      <c r="E383">
        <v>131</v>
      </c>
      <c r="F383" t="s">
        <v>17</v>
      </c>
      <c r="G383">
        <v>1.44</v>
      </c>
    </row>
    <row r="384" spans="1:7" x14ac:dyDescent="0.3">
      <c r="A384">
        <v>406</v>
      </c>
      <c r="B384" t="s">
        <v>517</v>
      </c>
      <c r="C384">
        <v>15</v>
      </c>
      <c r="D384" t="s">
        <v>8</v>
      </c>
      <c r="E384">
        <v>100</v>
      </c>
      <c r="F384" t="s">
        <v>15</v>
      </c>
      <c r="G384">
        <v>3.27</v>
      </c>
    </row>
    <row r="385" spans="1:7" x14ac:dyDescent="0.3">
      <c r="A385">
        <v>690</v>
      </c>
      <c r="B385" t="s">
        <v>517</v>
      </c>
      <c r="C385">
        <v>15</v>
      </c>
      <c r="D385" t="s">
        <v>8</v>
      </c>
      <c r="E385">
        <v>68</v>
      </c>
      <c r="F385" t="s">
        <v>143</v>
      </c>
      <c r="G385">
        <v>4.32</v>
      </c>
    </row>
    <row r="386" spans="1:7" x14ac:dyDescent="0.3">
      <c r="A386">
        <v>36</v>
      </c>
      <c r="B386" t="s">
        <v>81</v>
      </c>
      <c r="C386">
        <v>30</v>
      </c>
      <c r="D386" t="s">
        <v>8</v>
      </c>
      <c r="E386">
        <v>76</v>
      </c>
      <c r="F386" t="s">
        <v>82</v>
      </c>
      <c r="G386">
        <v>3.15</v>
      </c>
    </row>
    <row r="387" spans="1:7" x14ac:dyDescent="0.3">
      <c r="A387">
        <v>290</v>
      </c>
      <c r="B387" t="s">
        <v>409</v>
      </c>
      <c r="C387">
        <v>24</v>
      </c>
      <c r="D387" t="s">
        <v>8</v>
      </c>
      <c r="E387">
        <v>147</v>
      </c>
      <c r="F387" t="s">
        <v>410</v>
      </c>
      <c r="G387">
        <v>4.93</v>
      </c>
    </row>
    <row r="388" spans="1:7" x14ac:dyDescent="0.3">
      <c r="A388">
        <v>490</v>
      </c>
      <c r="B388" t="s">
        <v>409</v>
      </c>
      <c r="C388">
        <v>24</v>
      </c>
      <c r="D388" t="s">
        <v>8</v>
      </c>
      <c r="E388">
        <v>148</v>
      </c>
      <c r="F388" t="s">
        <v>246</v>
      </c>
      <c r="G388">
        <v>4.03</v>
      </c>
    </row>
    <row r="389" spans="1:7" x14ac:dyDescent="0.3">
      <c r="A389">
        <v>543</v>
      </c>
      <c r="B389" t="s">
        <v>409</v>
      </c>
      <c r="C389">
        <v>24</v>
      </c>
      <c r="D389" t="s">
        <v>8</v>
      </c>
      <c r="E389">
        <v>121</v>
      </c>
      <c r="F389" t="s">
        <v>463</v>
      </c>
      <c r="G389">
        <v>1.6</v>
      </c>
    </row>
    <row r="390" spans="1:7" x14ac:dyDescent="0.3">
      <c r="A390">
        <v>676</v>
      </c>
      <c r="B390" t="s">
        <v>409</v>
      </c>
      <c r="C390">
        <v>24</v>
      </c>
      <c r="D390" t="s">
        <v>8</v>
      </c>
      <c r="E390">
        <v>111</v>
      </c>
      <c r="F390" t="s">
        <v>256</v>
      </c>
      <c r="G390">
        <v>4.8899999999999997</v>
      </c>
    </row>
    <row r="391" spans="1:7" x14ac:dyDescent="0.3">
      <c r="A391">
        <v>726</v>
      </c>
      <c r="B391" t="s">
        <v>733</v>
      </c>
      <c r="C391">
        <v>23</v>
      </c>
      <c r="D391" t="s">
        <v>8</v>
      </c>
      <c r="E391">
        <v>21</v>
      </c>
      <c r="F391" t="s">
        <v>25</v>
      </c>
      <c r="G391">
        <v>1.1000000000000001</v>
      </c>
    </row>
    <row r="392" spans="1:7" x14ac:dyDescent="0.3">
      <c r="A392">
        <v>513</v>
      </c>
      <c r="B392" t="s">
        <v>601</v>
      </c>
      <c r="C392">
        <v>25</v>
      </c>
      <c r="D392" t="s">
        <v>8</v>
      </c>
      <c r="E392">
        <v>25</v>
      </c>
      <c r="F392" t="s">
        <v>114</v>
      </c>
      <c r="G392">
        <v>4.3499999999999996</v>
      </c>
    </row>
    <row r="393" spans="1:7" x14ac:dyDescent="0.3">
      <c r="A393">
        <v>352</v>
      </c>
      <c r="B393" t="s">
        <v>466</v>
      </c>
      <c r="C393">
        <v>22</v>
      </c>
      <c r="D393" t="s">
        <v>8</v>
      </c>
      <c r="E393">
        <v>79</v>
      </c>
      <c r="F393" t="s">
        <v>467</v>
      </c>
      <c r="G393">
        <v>4.05</v>
      </c>
    </row>
    <row r="394" spans="1:7" x14ac:dyDescent="0.3">
      <c r="A394">
        <v>400</v>
      </c>
      <c r="B394" t="s">
        <v>466</v>
      </c>
      <c r="C394">
        <v>22</v>
      </c>
      <c r="D394" t="s">
        <v>8</v>
      </c>
      <c r="E394">
        <v>72</v>
      </c>
      <c r="F394" t="s">
        <v>92</v>
      </c>
      <c r="G394">
        <v>3.77</v>
      </c>
    </row>
    <row r="395" spans="1:7" x14ac:dyDescent="0.3">
      <c r="A395">
        <v>722</v>
      </c>
      <c r="B395" t="s">
        <v>466</v>
      </c>
      <c r="C395">
        <v>22</v>
      </c>
      <c r="D395" t="s">
        <v>8</v>
      </c>
      <c r="E395">
        <v>92</v>
      </c>
      <c r="F395" t="s">
        <v>13</v>
      </c>
      <c r="G395">
        <v>4.88</v>
      </c>
    </row>
    <row r="396" spans="1:7" x14ac:dyDescent="0.3">
      <c r="A396">
        <v>576</v>
      </c>
      <c r="B396" t="s">
        <v>642</v>
      </c>
      <c r="C396">
        <v>20</v>
      </c>
      <c r="D396" t="s">
        <v>8</v>
      </c>
      <c r="E396">
        <v>34</v>
      </c>
      <c r="F396" t="s">
        <v>132</v>
      </c>
      <c r="G396">
        <v>2.2200000000000002</v>
      </c>
    </row>
    <row r="397" spans="1:7" x14ac:dyDescent="0.3">
      <c r="A397">
        <v>95</v>
      </c>
      <c r="B397" t="s">
        <v>174</v>
      </c>
      <c r="C397">
        <v>18</v>
      </c>
      <c r="D397" t="s">
        <v>8</v>
      </c>
      <c r="E397">
        <v>164</v>
      </c>
      <c r="F397" t="s">
        <v>175</v>
      </c>
      <c r="G397">
        <v>1.63</v>
      </c>
    </row>
    <row r="398" spans="1:7" x14ac:dyDescent="0.3">
      <c r="A398">
        <v>756</v>
      </c>
      <c r="B398" t="s">
        <v>754</v>
      </c>
      <c r="C398">
        <v>20</v>
      </c>
      <c r="D398" t="s">
        <v>8</v>
      </c>
      <c r="E398">
        <v>73</v>
      </c>
      <c r="F398" t="s">
        <v>84</v>
      </c>
      <c r="G398">
        <v>2.0499999999999998</v>
      </c>
    </row>
    <row r="399" spans="1:7" x14ac:dyDescent="0.3">
      <c r="A399">
        <v>601</v>
      </c>
      <c r="B399" t="s">
        <v>659</v>
      </c>
      <c r="C399">
        <v>11</v>
      </c>
      <c r="D399" t="s">
        <v>8</v>
      </c>
      <c r="E399">
        <v>93</v>
      </c>
      <c r="F399" t="s">
        <v>523</v>
      </c>
      <c r="G399">
        <v>1.97</v>
      </c>
    </row>
    <row r="400" spans="1:7" x14ac:dyDescent="0.3">
      <c r="A400">
        <v>144</v>
      </c>
      <c r="B400" t="s">
        <v>241</v>
      </c>
      <c r="C400">
        <v>18</v>
      </c>
      <c r="D400" t="s">
        <v>8</v>
      </c>
      <c r="E400">
        <v>22</v>
      </c>
      <c r="F400" t="s">
        <v>106</v>
      </c>
      <c r="G400">
        <v>2.1800000000000002</v>
      </c>
    </row>
    <row r="401" spans="1:7" x14ac:dyDescent="0.3">
      <c r="A401">
        <v>672</v>
      </c>
      <c r="B401" t="s">
        <v>702</v>
      </c>
      <c r="C401">
        <v>9</v>
      </c>
      <c r="D401" t="s">
        <v>8</v>
      </c>
      <c r="E401">
        <v>122</v>
      </c>
      <c r="F401" t="s">
        <v>552</v>
      </c>
      <c r="G401">
        <v>2.85</v>
      </c>
    </row>
    <row r="402" spans="1:7" x14ac:dyDescent="0.3">
      <c r="A402">
        <v>702</v>
      </c>
      <c r="B402" t="s">
        <v>719</v>
      </c>
      <c r="C402">
        <v>19</v>
      </c>
      <c r="D402" t="s">
        <v>8</v>
      </c>
      <c r="E402">
        <v>12</v>
      </c>
      <c r="F402" t="s">
        <v>158</v>
      </c>
      <c r="G402">
        <v>1.02</v>
      </c>
    </row>
    <row r="403" spans="1:7" x14ac:dyDescent="0.3">
      <c r="A403">
        <v>376</v>
      </c>
      <c r="B403" t="s">
        <v>489</v>
      </c>
      <c r="C403">
        <v>33</v>
      </c>
      <c r="D403" t="s">
        <v>8</v>
      </c>
      <c r="E403">
        <v>59</v>
      </c>
      <c r="F403" t="s">
        <v>169</v>
      </c>
      <c r="G403">
        <v>4.2300000000000004</v>
      </c>
    </row>
    <row r="404" spans="1:7" x14ac:dyDescent="0.3">
      <c r="A404">
        <v>294</v>
      </c>
      <c r="B404" t="s">
        <v>412</v>
      </c>
      <c r="C404">
        <v>37</v>
      </c>
      <c r="D404" t="s">
        <v>8</v>
      </c>
      <c r="E404">
        <v>171</v>
      </c>
      <c r="F404" t="s">
        <v>413</v>
      </c>
      <c r="G404">
        <v>1.79</v>
      </c>
    </row>
    <row r="405" spans="1:7" x14ac:dyDescent="0.3">
      <c r="A405">
        <v>718</v>
      </c>
      <c r="B405" t="s">
        <v>412</v>
      </c>
      <c r="C405">
        <v>37</v>
      </c>
      <c r="D405" t="s">
        <v>8</v>
      </c>
      <c r="E405">
        <v>20</v>
      </c>
      <c r="F405" t="s">
        <v>150</v>
      </c>
      <c r="G405">
        <v>3.27</v>
      </c>
    </row>
    <row r="406" spans="1:7" x14ac:dyDescent="0.3">
      <c r="A406">
        <v>426</v>
      </c>
      <c r="B406" t="s">
        <v>532</v>
      </c>
      <c r="C406">
        <v>23</v>
      </c>
      <c r="D406" t="s">
        <v>8</v>
      </c>
      <c r="E406">
        <v>32</v>
      </c>
      <c r="F406" t="s">
        <v>293</v>
      </c>
      <c r="G406">
        <v>1.1399999999999999</v>
      </c>
    </row>
    <row r="407" spans="1:7" x14ac:dyDescent="0.3">
      <c r="A407">
        <v>750</v>
      </c>
      <c r="B407" t="s">
        <v>750</v>
      </c>
      <c r="C407">
        <v>22</v>
      </c>
      <c r="D407" t="s">
        <v>8</v>
      </c>
      <c r="E407">
        <v>167</v>
      </c>
      <c r="F407" t="s">
        <v>394</v>
      </c>
      <c r="G407">
        <v>3.61</v>
      </c>
    </row>
    <row r="408" spans="1:7" x14ac:dyDescent="0.3">
      <c r="A408">
        <v>121</v>
      </c>
      <c r="B408" t="s">
        <v>211</v>
      </c>
      <c r="C408">
        <v>23</v>
      </c>
      <c r="D408" t="s">
        <v>8</v>
      </c>
      <c r="E408">
        <v>1</v>
      </c>
      <c r="F408" t="s">
        <v>212</v>
      </c>
      <c r="G408">
        <v>3.26</v>
      </c>
    </row>
    <row r="409" spans="1:7" x14ac:dyDescent="0.3">
      <c r="A409">
        <v>526</v>
      </c>
      <c r="B409" t="s">
        <v>211</v>
      </c>
      <c r="C409">
        <v>23</v>
      </c>
      <c r="D409" t="s">
        <v>8</v>
      </c>
      <c r="E409">
        <v>133</v>
      </c>
      <c r="F409" t="s">
        <v>74</v>
      </c>
      <c r="G409">
        <v>4.09</v>
      </c>
    </row>
    <row r="410" spans="1:7" x14ac:dyDescent="0.3">
      <c r="A410">
        <v>769</v>
      </c>
      <c r="B410" t="s">
        <v>758</v>
      </c>
      <c r="C410">
        <v>15</v>
      </c>
      <c r="D410" t="s">
        <v>8</v>
      </c>
      <c r="E410">
        <v>145</v>
      </c>
      <c r="F410" t="s">
        <v>227</v>
      </c>
      <c r="G410">
        <v>4.58</v>
      </c>
    </row>
    <row r="411" spans="1:7" x14ac:dyDescent="0.3">
      <c r="A411">
        <v>53</v>
      </c>
      <c r="B411" t="s">
        <v>111</v>
      </c>
      <c r="C411">
        <v>32</v>
      </c>
      <c r="D411" t="s">
        <v>8</v>
      </c>
      <c r="E411">
        <v>176</v>
      </c>
      <c r="F411" t="s">
        <v>112</v>
      </c>
      <c r="G411">
        <v>2.84</v>
      </c>
    </row>
    <row r="412" spans="1:7" x14ac:dyDescent="0.3">
      <c r="A412">
        <v>550</v>
      </c>
      <c r="B412" t="s">
        <v>627</v>
      </c>
      <c r="C412">
        <v>20</v>
      </c>
      <c r="D412" t="s">
        <v>8</v>
      </c>
      <c r="E412">
        <v>60</v>
      </c>
      <c r="F412" t="s">
        <v>110</v>
      </c>
      <c r="G412">
        <v>3.54</v>
      </c>
    </row>
    <row r="413" spans="1:7" x14ac:dyDescent="0.3">
      <c r="A413">
        <v>474</v>
      </c>
      <c r="B413" t="s">
        <v>573</v>
      </c>
      <c r="C413">
        <v>31</v>
      </c>
      <c r="D413" t="s">
        <v>8</v>
      </c>
      <c r="E413">
        <v>145</v>
      </c>
      <c r="F413" t="s">
        <v>227</v>
      </c>
      <c r="G413">
        <v>4.58</v>
      </c>
    </row>
    <row r="414" spans="1:7" x14ac:dyDescent="0.3">
      <c r="A414">
        <v>150</v>
      </c>
      <c r="B414" t="s">
        <v>248</v>
      </c>
      <c r="C414">
        <v>17</v>
      </c>
      <c r="D414" t="s">
        <v>8</v>
      </c>
      <c r="E414">
        <v>0</v>
      </c>
      <c r="F414" t="s">
        <v>228</v>
      </c>
      <c r="G414">
        <v>1.28</v>
      </c>
    </row>
    <row r="415" spans="1:7" x14ac:dyDescent="0.3">
      <c r="A415">
        <v>268</v>
      </c>
      <c r="B415" t="s">
        <v>248</v>
      </c>
      <c r="C415">
        <v>17</v>
      </c>
      <c r="D415" t="s">
        <v>8</v>
      </c>
      <c r="E415">
        <v>71</v>
      </c>
      <c r="F415" t="s">
        <v>62</v>
      </c>
      <c r="G415">
        <v>1.61</v>
      </c>
    </row>
    <row r="416" spans="1:7" x14ac:dyDescent="0.3">
      <c r="A416">
        <v>175</v>
      </c>
      <c r="B416" t="s">
        <v>279</v>
      </c>
      <c r="C416">
        <v>17</v>
      </c>
      <c r="D416" t="s">
        <v>8</v>
      </c>
      <c r="E416">
        <v>103</v>
      </c>
      <c r="F416" t="s">
        <v>280</v>
      </c>
      <c r="G416">
        <v>4.3499999999999996</v>
      </c>
    </row>
    <row r="417" spans="1:7" x14ac:dyDescent="0.3">
      <c r="A417">
        <v>721</v>
      </c>
      <c r="B417" t="s">
        <v>731</v>
      </c>
      <c r="C417">
        <v>20</v>
      </c>
      <c r="D417" t="s">
        <v>8</v>
      </c>
      <c r="E417">
        <v>156</v>
      </c>
      <c r="F417" t="s">
        <v>407</v>
      </c>
      <c r="G417">
        <v>1.77</v>
      </c>
    </row>
    <row r="418" spans="1:7" x14ac:dyDescent="0.3">
      <c r="A418">
        <v>68</v>
      </c>
      <c r="B418" t="s">
        <v>135</v>
      </c>
      <c r="C418">
        <v>15</v>
      </c>
      <c r="D418" t="s">
        <v>8</v>
      </c>
      <c r="E418">
        <v>27</v>
      </c>
      <c r="F418" t="s">
        <v>136</v>
      </c>
      <c r="G418">
        <v>3.3</v>
      </c>
    </row>
    <row r="419" spans="1:7" x14ac:dyDescent="0.3">
      <c r="A419">
        <v>492</v>
      </c>
      <c r="B419" t="s">
        <v>586</v>
      </c>
      <c r="C419">
        <v>23</v>
      </c>
      <c r="D419" t="s">
        <v>8</v>
      </c>
      <c r="E419">
        <v>143</v>
      </c>
      <c r="F419" t="s">
        <v>11</v>
      </c>
      <c r="G419">
        <v>1.56</v>
      </c>
    </row>
    <row r="420" spans="1:7" x14ac:dyDescent="0.3">
      <c r="A420">
        <v>10</v>
      </c>
      <c r="B420" t="s">
        <v>29</v>
      </c>
      <c r="C420">
        <v>23</v>
      </c>
      <c r="D420" t="s">
        <v>8</v>
      </c>
      <c r="E420">
        <v>95</v>
      </c>
      <c r="F420" t="s">
        <v>30</v>
      </c>
      <c r="G420">
        <v>4.74</v>
      </c>
    </row>
    <row r="421" spans="1:7" x14ac:dyDescent="0.3">
      <c r="A421">
        <v>132</v>
      </c>
      <c r="B421" t="s">
        <v>29</v>
      </c>
      <c r="C421">
        <v>23</v>
      </c>
      <c r="D421" t="s">
        <v>8</v>
      </c>
      <c r="E421">
        <v>145</v>
      </c>
      <c r="F421" t="s">
        <v>227</v>
      </c>
      <c r="G421">
        <v>4.58</v>
      </c>
    </row>
    <row r="422" spans="1:7" x14ac:dyDescent="0.3">
      <c r="A422">
        <v>509</v>
      </c>
      <c r="B422" t="s">
        <v>29</v>
      </c>
      <c r="C422">
        <v>23</v>
      </c>
      <c r="D422" t="s">
        <v>8</v>
      </c>
      <c r="E422">
        <v>117</v>
      </c>
      <c r="F422" t="s">
        <v>207</v>
      </c>
      <c r="G422">
        <v>1.79</v>
      </c>
    </row>
    <row r="423" spans="1:7" x14ac:dyDescent="0.3">
      <c r="A423">
        <v>128</v>
      </c>
      <c r="B423" t="s">
        <v>220</v>
      </c>
      <c r="C423">
        <v>21</v>
      </c>
      <c r="D423" t="s">
        <v>8</v>
      </c>
      <c r="E423">
        <v>58</v>
      </c>
      <c r="F423" t="s">
        <v>221</v>
      </c>
      <c r="G423">
        <v>4.1399999999999997</v>
      </c>
    </row>
    <row r="424" spans="1:7" x14ac:dyDescent="0.3">
      <c r="A424">
        <v>623</v>
      </c>
      <c r="B424" t="s">
        <v>220</v>
      </c>
      <c r="C424">
        <v>21</v>
      </c>
      <c r="D424" t="s">
        <v>8</v>
      </c>
      <c r="E424">
        <v>114</v>
      </c>
      <c r="F424" t="s">
        <v>315</v>
      </c>
      <c r="G424">
        <v>3.82</v>
      </c>
    </row>
    <row r="425" spans="1:7" x14ac:dyDescent="0.3">
      <c r="A425">
        <v>758</v>
      </c>
      <c r="B425" t="s">
        <v>220</v>
      </c>
      <c r="C425">
        <v>21</v>
      </c>
      <c r="D425" t="s">
        <v>8</v>
      </c>
      <c r="E425">
        <v>182</v>
      </c>
      <c r="F425" t="s">
        <v>374</v>
      </c>
      <c r="G425">
        <v>4.03</v>
      </c>
    </row>
    <row r="426" spans="1:7" x14ac:dyDescent="0.3">
      <c r="A426">
        <v>776</v>
      </c>
      <c r="B426" t="s">
        <v>220</v>
      </c>
      <c r="C426">
        <v>21</v>
      </c>
      <c r="D426" t="s">
        <v>8</v>
      </c>
      <c r="E426">
        <v>164</v>
      </c>
      <c r="F426" t="s">
        <v>175</v>
      </c>
      <c r="G426">
        <v>1.63</v>
      </c>
    </row>
    <row r="427" spans="1:7" x14ac:dyDescent="0.3">
      <c r="A427">
        <v>137</v>
      </c>
      <c r="B427" t="s">
        <v>233</v>
      </c>
      <c r="C427">
        <v>20</v>
      </c>
      <c r="D427" t="s">
        <v>8</v>
      </c>
      <c r="E427">
        <v>179</v>
      </c>
      <c r="F427" t="s">
        <v>72</v>
      </c>
      <c r="G427">
        <v>4.4800000000000004</v>
      </c>
    </row>
    <row r="428" spans="1:7" x14ac:dyDescent="0.3">
      <c r="A428">
        <v>161</v>
      </c>
      <c r="B428" t="s">
        <v>233</v>
      </c>
      <c r="C428">
        <v>20</v>
      </c>
      <c r="D428" t="s">
        <v>8</v>
      </c>
      <c r="E428">
        <v>3</v>
      </c>
      <c r="F428" t="s">
        <v>259</v>
      </c>
      <c r="G428">
        <v>2.4900000000000002</v>
      </c>
    </row>
    <row r="429" spans="1:7" x14ac:dyDescent="0.3">
      <c r="A429">
        <v>551</v>
      </c>
      <c r="B429" t="s">
        <v>233</v>
      </c>
      <c r="C429">
        <v>20</v>
      </c>
      <c r="D429" t="s">
        <v>8</v>
      </c>
      <c r="E429">
        <v>160</v>
      </c>
      <c r="F429" t="s">
        <v>78</v>
      </c>
      <c r="G429">
        <v>4.4000000000000004</v>
      </c>
    </row>
    <row r="430" spans="1:7" x14ac:dyDescent="0.3">
      <c r="A430">
        <v>582</v>
      </c>
      <c r="B430" t="s">
        <v>645</v>
      </c>
      <c r="C430">
        <v>20</v>
      </c>
      <c r="D430" t="s">
        <v>8</v>
      </c>
      <c r="E430">
        <v>19</v>
      </c>
      <c r="F430" t="s">
        <v>358</v>
      </c>
      <c r="G430">
        <v>1.02</v>
      </c>
    </row>
    <row r="431" spans="1:7" x14ac:dyDescent="0.3">
      <c r="A431">
        <v>434</v>
      </c>
      <c r="B431" t="s">
        <v>538</v>
      </c>
      <c r="C431">
        <v>20</v>
      </c>
      <c r="D431" t="s">
        <v>8</v>
      </c>
      <c r="E431">
        <v>84</v>
      </c>
      <c r="F431" t="s">
        <v>116</v>
      </c>
      <c r="G431">
        <v>3.79</v>
      </c>
    </row>
    <row r="432" spans="1:7" x14ac:dyDescent="0.3">
      <c r="A432">
        <v>765</v>
      </c>
      <c r="B432" t="s">
        <v>757</v>
      </c>
      <c r="C432">
        <v>18</v>
      </c>
      <c r="D432" t="s">
        <v>8</v>
      </c>
      <c r="E432">
        <v>130</v>
      </c>
      <c r="F432" t="s">
        <v>704</v>
      </c>
      <c r="G432">
        <v>2.0699999999999998</v>
      </c>
    </row>
    <row r="433" spans="1:7" x14ac:dyDescent="0.3">
      <c r="A433">
        <v>80</v>
      </c>
      <c r="B433" t="s">
        <v>153</v>
      </c>
      <c r="C433">
        <v>23</v>
      </c>
      <c r="D433" t="s">
        <v>8</v>
      </c>
      <c r="E433">
        <v>165</v>
      </c>
      <c r="F433" t="s">
        <v>37</v>
      </c>
      <c r="G433">
        <v>4.8600000000000003</v>
      </c>
    </row>
    <row r="434" spans="1:7" x14ac:dyDescent="0.3">
      <c r="A434">
        <v>148</v>
      </c>
      <c r="B434" t="s">
        <v>245</v>
      </c>
      <c r="C434">
        <v>20</v>
      </c>
      <c r="D434" t="s">
        <v>8</v>
      </c>
      <c r="E434">
        <v>148</v>
      </c>
      <c r="F434" t="s">
        <v>246</v>
      </c>
      <c r="G434">
        <v>4.03</v>
      </c>
    </row>
    <row r="435" spans="1:7" x14ac:dyDescent="0.3">
      <c r="A435">
        <v>247</v>
      </c>
      <c r="B435" t="s">
        <v>245</v>
      </c>
      <c r="C435">
        <v>20</v>
      </c>
      <c r="D435" t="s">
        <v>8</v>
      </c>
      <c r="E435">
        <v>82</v>
      </c>
      <c r="F435" t="s">
        <v>46</v>
      </c>
      <c r="G435">
        <v>4.9000000000000004</v>
      </c>
    </row>
    <row r="436" spans="1:7" x14ac:dyDescent="0.3">
      <c r="A436">
        <v>318</v>
      </c>
      <c r="B436" t="s">
        <v>245</v>
      </c>
      <c r="C436">
        <v>20</v>
      </c>
      <c r="D436" t="s">
        <v>8</v>
      </c>
      <c r="E436">
        <v>91</v>
      </c>
      <c r="F436" t="s">
        <v>435</v>
      </c>
      <c r="G436">
        <v>4.17</v>
      </c>
    </row>
    <row r="437" spans="1:7" x14ac:dyDescent="0.3">
      <c r="A437">
        <v>649</v>
      </c>
      <c r="B437" t="s">
        <v>687</v>
      </c>
      <c r="C437">
        <v>15</v>
      </c>
      <c r="D437" t="s">
        <v>8</v>
      </c>
      <c r="E437">
        <v>67</v>
      </c>
      <c r="F437" t="s">
        <v>451</v>
      </c>
      <c r="G437">
        <v>3.46</v>
      </c>
    </row>
    <row r="438" spans="1:7" x14ac:dyDescent="0.3">
      <c r="A438">
        <v>508</v>
      </c>
      <c r="B438" t="s">
        <v>598</v>
      </c>
      <c r="C438">
        <v>16</v>
      </c>
      <c r="D438" t="s">
        <v>8</v>
      </c>
      <c r="E438">
        <v>7</v>
      </c>
      <c r="F438" t="s">
        <v>90</v>
      </c>
      <c r="G438">
        <v>1.33</v>
      </c>
    </row>
    <row r="439" spans="1:7" x14ac:dyDescent="0.3">
      <c r="A439">
        <v>136</v>
      </c>
      <c r="B439" t="s">
        <v>232</v>
      </c>
      <c r="C439">
        <v>22</v>
      </c>
      <c r="D439" t="s">
        <v>8</v>
      </c>
      <c r="E439">
        <v>105</v>
      </c>
      <c r="F439" t="s">
        <v>123</v>
      </c>
      <c r="G439">
        <v>3.03</v>
      </c>
    </row>
    <row r="440" spans="1:7" x14ac:dyDescent="0.3">
      <c r="A440">
        <v>7</v>
      </c>
      <c r="B440" t="s">
        <v>22</v>
      </c>
      <c r="C440">
        <v>20</v>
      </c>
      <c r="D440" t="s">
        <v>8</v>
      </c>
      <c r="E440">
        <v>162</v>
      </c>
      <c r="F440" t="s">
        <v>23</v>
      </c>
      <c r="G440">
        <v>2.67</v>
      </c>
    </row>
    <row r="441" spans="1:7" x14ac:dyDescent="0.3">
      <c r="A441">
        <v>168</v>
      </c>
      <c r="B441" t="s">
        <v>22</v>
      </c>
      <c r="C441">
        <v>20</v>
      </c>
      <c r="D441" t="s">
        <v>8</v>
      </c>
      <c r="E441">
        <v>85</v>
      </c>
      <c r="F441" t="s">
        <v>193</v>
      </c>
      <c r="G441">
        <v>1.75</v>
      </c>
    </row>
    <row r="442" spans="1:7" x14ac:dyDescent="0.3">
      <c r="A442">
        <v>4</v>
      </c>
      <c r="B442" t="s">
        <v>16</v>
      </c>
      <c r="C442">
        <v>23</v>
      </c>
      <c r="D442" t="s">
        <v>8</v>
      </c>
      <c r="E442">
        <v>131</v>
      </c>
      <c r="F442" t="s">
        <v>17</v>
      </c>
      <c r="G442">
        <v>1.44</v>
      </c>
    </row>
    <row r="443" spans="1:7" x14ac:dyDescent="0.3">
      <c r="A443">
        <v>600</v>
      </c>
      <c r="B443" t="s">
        <v>658</v>
      </c>
      <c r="C443">
        <v>16</v>
      </c>
      <c r="D443" t="s">
        <v>8</v>
      </c>
      <c r="E443">
        <v>166</v>
      </c>
      <c r="F443" t="s">
        <v>388</v>
      </c>
      <c r="G443">
        <v>3.07</v>
      </c>
    </row>
    <row r="444" spans="1:7" x14ac:dyDescent="0.3">
      <c r="A444">
        <v>771</v>
      </c>
      <c r="B444" t="s">
        <v>759</v>
      </c>
      <c r="C444">
        <v>16</v>
      </c>
      <c r="D444" t="s">
        <v>8</v>
      </c>
      <c r="E444">
        <v>25</v>
      </c>
      <c r="F444" t="s">
        <v>114</v>
      </c>
      <c r="G444">
        <v>4.3499999999999996</v>
      </c>
    </row>
    <row r="445" spans="1:7" x14ac:dyDescent="0.3">
      <c r="A445">
        <v>563</v>
      </c>
      <c r="B445" t="s">
        <v>634</v>
      </c>
      <c r="C445">
        <v>38</v>
      </c>
      <c r="D445" t="s">
        <v>8</v>
      </c>
      <c r="E445">
        <v>142</v>
      </c>
      <c r="F445" t="s">
        <v>338</v>
      </c>
      <c r="G445">
        <v>2.62</v>
      </c>
    </row>
    <row r="446" spans="1:7" x14ac:dyDescent="0.3">
      <c r="A446">
        <v>660</v>
      </c>
      <c r="B446" t="s">
        <v>634</v>
      </c>
      <c r="C446">
        <v>38</v>
      </c>
      <c r="D446" t="s">
        <v>8</v>
      </c>
      <c r="E446">
        <v>103</v>
      </c>
      <c r="F446" t="s">
        <v>280</v>
      </c>
      <c r="G446">
        <v>4.3499999999999996</v>
      </c>
    </row>
    <row r="447" spans="1:7" x14ac:dyDescent="0.3">
      <c r="A447">
        <v>742</v>
      </c>
      <c r="B447" t="s">
        <v>745</v>
      </c>
      <c r="C447">
        <v>20</v>
      </c>
      <c r="D447" t="s">
        <v>8</v>
      </c>
      <c r="E447">
        <v>5</v>
      </c>
      <c r="F447" t="s">
        <v>276</v>
      </c>
      <c r="G447">
        <v>4.08</v>
      </c>
    </row>
    <row r="448" spans="1:7" x14ac:dyDescent="0.3">
      <c r="A448">
        <v>386</v>
      </c>
      <c r="B448" t="s">
        <v>499</v>
      </c>
      <c r="C448">
        <v>21</v>
      </c>
      <c r="D448" t="s">
        <v>8</v>
      </c>
      <c r="E448">
        <v>129</v>
      </c>
      <c r="F448" t="s">
        <v>163</v>
      </c>
      <c r="G448">
        <v>1.54</v>
      </c>
    </row>
    <row r="449" spans="1:7" x14ac:dyDescent="0.3">
      <c r="A449">
        <v>248</v>
      </c>
      <c r="B449" t="s">
        <v>366</v>
      </c>
      <c r="C449">
        <v>44</v>
      </c>
      <c r="D449" t="s">
        <v>8</v>
      </c>
      <c r="E449">
        <v>137</v>
      </c>
      <c r="F449" t="s">
        <v>330</v>
      </c>
      <c r="G449">
        <v>3.39</v>
      </c>
    </row>
    <row r="450" spans="1:7" x14ac:dyDescent="0.3">
      <c r="A450">
        <v>2</v>
      </c>
      <c r="B450" t="s">
        <v>12</v>
      </c>
      <c r="C450">
        <v>24</v>
      </c>
      <c r="D450" t="s">
        <v>8</v>
      </c>
      <c r="E450">
        <v>92</v>
      </c>
      <c r="F450" t="s">
        <v>13</v>
      </c>
      <c r="G450">
        <v>4.88</v>
      </c>
    </row>
    <row r="451" spans="1:7" x14ac:dyDescent="0.3">
      <c r="A451">
        <v>6</v>
      </c>
      <c r="B451" t="s">
        <v>20</v>
      </c>
      <c r="C451">
        <v>36</v>
      </c>
      <c r="D451" t="s">
        <v>8</v>
      </c>
      <c r="E451">
        <v>169</v>
      </c>
      <c r="F451" t="s">
        <v>21</v>
      </c>
      <c r="G451">
        <v>2.1800000000000002</v>
      </c>
    </row>
    <row r="452" spans="1:7" x14ac:dyDescent="0.3">
      <c r="A452">
        <v>35</v>
      </c>
      <c r="B452" t="s">
        <v>79</v>
      </c>
      <c r="C452">
        <v>22</v>
      </c>
      <c r="D452" t="s">
        <v>8</v>
      </c>
      <c r="E452">
        <v>53</v>
      </c>
      <c r="F452" t="s">
        <v>80</v>
      </c>
      <c r="G452">
        <v>2.0499999999999998</v>
      </c>
    </row>
    <row r="453" spans="1:7" x14ac:dyDescent="0.3">
      <c r="A453">
        <v>545</v>
      </c>
      <c r="B453" t="s">
        <v>623</v>
      </c>
      <c r="C453">
        <v>16</v>
      </c>
      <c r="D453" t="s">
        <v>8</v>
      </c>
      <c r="E453">
        <v>66</v>
      </c>
      <c r="F453" t="s">
        <v>347</v>
      </c>
      <c r="G453">
        <v>4.4000000000000004</v>
      </c>
    </row>
    <row r="454" spans="1:7" x14ac:dyDescent="0.3">
      <c r="A454">
        <v>131</v>
      </c>
      <c r="B454" t="s">
        <v>226</v>
      </c>
      <c r="C454">
        <v>22</v>
      </c>
      <c r="D454" t="s">
        <v>8</v>
      </c>
      <c r="E454">
        <v>62</v>
      </c>
      <c r="F454" t="s">
        <v>217</v>
      </c>
      <c r="G454">
        <v>1.87</v>
      </c>
    </row>
    <row r="455" spans="1:7" x14ac:dyDescent="0.3">
      <c r="A455">
        <v>489</v>
      </c>
      <c r="B455" t="s">
        <v>584</v>
      </c>
      <c r="C455">
        <v>28</v>
      </c>
      <c r="D455" t="s">
        <v>8</v>
      </c>
      <c r="E455">
        <v>32</v>
      </c>
      <c r="F455" t="s">
        <v>293</v>
      </c>
      <c r="G455">
        <v>1.1399999999999999</v>
      </c>
    </row>
    <row r="456" spans="1:7" x14ac:dyDescent="0.3">
      <c r="A456">
        <v>61</v>
      </c>
      <c r="B456" t="s">
        <v>125</v>
      </c>
      <c r="C456">
        <v>17</v>
      </c>
      <c r="D456" t="s">
        <v>8</v>
      </c>
      <c r="E456">
        <v>178</v>
      </c>
      <c r="F456" t="s">
        <v>60</v>
      </c>
      <c r="G456">
        <v>4.2300000000000004</v>
      </c>
    </row>
    <row r="457" spans="1:7" x14ac:dyDescent="0.3">
      <c r="A457">
        <v>205</v>
      </c>
      <c r="B457" t="s">
        <v>125</v>
      </c>
      <c r="C457">
        <v>17</v>
      </c>
      <c r="D457" t="s">
        <v>8</v>
      </c>
      <c r="E457">
        <v>149</v>
      </c>
      <c r="F457" t="s">
        <v>320</v>
      </c>
      <c r="G457">
        <v>1.75</v>
      </c>
    </row>
    <row r="458" spans="1:7" x14ac:dyDescent="0.3">
      <c r="A458">
        <v>774</v>
      </c>
      <c r="B458" t="s">
        <v>761</v>
      </c>
      <c r="C458">
        <v>11</v>
      </c>
      <c r="D458" t="s">
        <v>8</v>
      </c>
      <c r="E458">
        <v>101</v>
      </c>
      <c r="F458" t="s">
        <v>13</v>
      </c>
      <c r="G458">
        <v>4.1900000000000004</v>
      </c>
    </row>
    <row r="459" spans="1:7" x14ac:dyDescent="0.3">
      <c r="A459">
        <v>220</v>
      </c>
      <c r="B459" t="s">
        <v>335</v>
      </c>
      <c r="C459">
        <v>40</v>
      </c>
      <c r="D459" t="s">
        <v>8</v>
      </c>
      <c r="E459">
        <v>46</v>
      </c>
      <c r="F459" t="s">
        <v>243</v>
      </c>
      <c r="G459">
        <v>1.33</v>
      </c>
    </row>
    <row r="460" spans="1:7" x14ac:dyDescent="0.3">
      <c r="A460">
        <v>69</v>
      </c>
      <c r="B460" t="s">
        <v>137</v>
      </c>
      <c r="C460">
        <v>24</v>
      </c>
      <c r="D460" t="s">
        <v>8</v>
      </c>
      <c r="E460">
        <v>37</v>
      </c>
      <c r="F460" t="s">
        <v>68</v>
      </c>
      <c r="G460">
        <v>3.16</v>
      </c>
    </row>
    <row r="461" spans="1:7" x14ac:dyDescent="0.3">
      <c r="A461">
        <v>88</v>
      </c>
      <c r="B461" t="s">
        <v>164</v>
      </c>
      <c r="C461">
        <v>30</v>
      </c>
      <c r="D461" t="s">
        <v>8</v>
      </c>
      <c r="E461">
        <v>82</v>
      </c>
      <c r="F461" t="s">
        <v>46</v>
      </c>
      <c r="G461">
        <v>4.9000000000000004</v>
      </c>
    </row>
    <row r="462" spans="1:7" x14ac:dyDescent="0.3">
      <c r="A462">
        <v>663</v>
      </c>
      <c r="B462" t="s">
        <v>694</v>
      </c>
      <c r="C462">
        <v>25</v>
      </c>
      <c r="D462" t="s">
        <v>8</v>
      </c>
      <c r="E462">
        <v>72</v>
      </c>
      <c r="F462" t="s">
        <v>92</v>
      </c>
      <c r="G462">
        <v>3.77</v>
      </c>
    </row>
    <row r="463" spans="1:7" x14ac:dyDescent="0.3">
      <c r="A463">
        <v>182</v>
      </c>
      <c r="B463" t="s">
        <v>289</v>
      </c>
      <c r="C463">
        <v>38</v>
      </c>
      <c r="D463" t="s">
        <v>8</v>
      </c>
      <c r="E463">
        <v>154</v>
      </c>
      <c r="F463" t="s">
        <v>290</v>
      </c>
      <c r="G463">
        <v>4.4000000000000004</v>
      </c>
    </row>
    <row r="464" spans="1:7" x14ac:dyDescent="0.3">
      <c r="A464">
        <v>695</v>
      </c>
      <c r="B464" t="s">
        <v>289</v>
      </c>
      <c r="C464">
        <v>38</v>
      </c>
      <c r="D464" t="s">
        <v>8</v>
      </c>
      <c r="E464">
        <v>111</v>
      </c>
      <c r="F464" t="s">
        <v>256</v>
      </c>
      <c r="G464">
        <v>4.8899999999999997</v>
      </c>
    </row>
    <row r="465" spans="1:7" x14ac:dyDescent="0.3">
      <c r="A465">
        <v>394</v>
      </c>
      <c r="B465" t="s">
        <v>507</v>
      </c>
      <c r="C465">
        <v>12</v>
      </c>
      <c r="D465" t="s">
        <v>8</v>
      </c>
      <c r="E465">
        <v>60</v>
      </c>
      <c r="F465" t="s">
        <v>110</v>
      </c>
      <c r="G465">
        <v>3.54</v>
      </c>
    </row>
    <row r="466" spans="1:7" x14ac:dyDescent="0.3">
      <c r="A466">
        <v>269</v>
      </c>
      <c r="B466" t="s">
        <v>384</v>
      </c>
      <c r="C466">
        <v>15</v>
      </c>
      <c r="D466" t="s">
        <v>8</v>
      </c>
      <c r="E466">
        <v>18</v>
      </c>
      <c r="F466" t="s">
        <v>385</v>
      </c>
      <c r="G466">
        <v>4.6500000000000004</v>
      </c>
    </row>
    <row r="467" spans="1:7" x14ac:dyDescent="0.3">
      <c r="A467">
        <v>116</v>
      </c>
      <c r="B467" t="s">
        <v>205</v>
      </c>
      <c r="C467">
        <v>21</v>
      </c>
      <c r="D467" t="s">
        <v>8</v>
      </c>
      <c r="E467">
        <v>139</v>
      </c>
      <c r="F467" t="s">
        <v>196</v>
      </c>
      <c r="G467">
        <v>4.9400000000000004</v>
      </c>
    </row>
    <row r="468" spans="1:7" x14ac:dyDescent="0.3">
      <c r="A468">
        <v>511</v>
      </c>
      <c r="B468" t="s">
        <v>205</v>
      </c>
      <c r="C468">
        <v>21</v>
      </c>
      <c r="D468" t="s">
        <v>8</v>
      </c>
      <c r="E468">
        <v>64</v>
      </c>
      <c r="F468" t="s">
        <v>486</v>
      </c>
      <c r="G468">
        <v>4.82</v>
      </c>
    </row>
    <row r="469" spans="1:7" x14ac:dyDescent="0.3">
      <c r="A469">
        <v>763</v>
      </c>
      <c r="B469" t="s">
        <v>205</v>
      </c>
      <c r="C469">
        <v>21</v>
      </c>
      <c r="D469" t="s">
        <v>8</v>
      </c>
      <c r="E469">
        <v>85</v>
      </c>
      <c r="F469" t="s">
        <v>193</v>
      </c>
      <c r="G469">
        <v>1.75</v>
      </c>
    </row>
    <row r="470" spans="1:7" x14ac:dyDescent="0.3">
      <c r="A470">
        <v>454</v>
      </c>
      <c r="B470" t="s">
        <v>554</v>
      </c>
      <c r="C470">
        <v>25</v>
      </c>
      <c r="D470" t="s">
        <v>8</v>
      </c>
      <c r="E470">
        <v>1</v>
      </c>
      <c r="F470" t="s">
        <v>212</v>
      </c>
      <c r="G470">
        <v>3.26</v>
      </c>
    </row>
    <row r="471" spans="1:7" x14ac:dyDescent="0.3">
      <c r="A471">
        <v>593</v>
      </c>
      <c r="B471" t="s">
        <v>554</v>
      </c>
      <c r="C471">
        <v>25</v>
      </c>
      <c r="D471" t="s">
        <v>8</v>
      </c>
      <c r="E471">
        <v>128</v>
      </c>
      <c r="F471" t="s">
        <v>402</v>
      </c>
      <c r="G471">
        <v>4.91</v>
      </c>
    </row>
    <row r="472" spans="1:7" x14ac:dyDescent="0.3">
      <c r="A472">
        <v>567</v>
      </c>
      <c r="B472" t="s">
        <v>637</v>
      </c>
      <c r="C472">
        <v>20</v>
      </c>
      <c r="D472" t="s">
        <v>8</v>
      </c>
      <c r="E472">
        <v>102</v>
      </c>
      <c r="F472" t="s">
        <v>99</v>
      </c>
      <c r="G472">
        <v>3.44</v>
      </c>
    </row>
    <row r="473" spans="1:7" x14ac:dyDescent="0.3">
      <c r="A473">
        <v>174</v>
      </c>
      <c r="B473" t="s">
        <v>277</v>
      </c>
      <c r="C473">
        <v>30</v>
      </c>
      <c r="D473" t="s">
        <v>8</v>
      </c>
      <c r="E473">
        <v>144</v>
      </c>
      <c r="F473" t="s">
        <v>278</v>
      </c>
      <c r="G473">
        <v>1.94</v>
      </c>
    </row>
    <row r="474" spans="1:7" x14ac:dyDescent="0.3">
      <c r="A474">
        <v>106</v>
      </c>
      <c r="B474" t="s">
        <v>188</v>
      </c>
      <c r="C474">
        <v>22</v>
      </c>
      <c r="D474" t="s">
        <v>8</v>
      </c>
      <c r="E474">
        <v>54</v>
      </c>
      <c r="F474" t="s">
        <v>189</v>
      </c>
      <c r="G474">
        <v>2.5</v>
      </c>
    </row>
    <row r="475" spans="1:7" x14ac:dyDescent="0.3">
      <c r="A475">
        <v>530</v>
      </c>
      <c r="B475" t="s">
        <v>613</v>
      </c>
      <c r="C475">
        <v>24</v>
      </c>
      <c r="D475" t="s">
        <v>8</v>
      </c>
      <c r="E475">
        <v>5</v>
      </c>
      <c r="F475" t="s">
        <v>276</v>
      </c>
      <c r="G475">
        <v>4.08</v>
      </c>
    </row>
    <row r="476" spans="1:7" x14ac:dyDescent="0.3">
      <c r="A476">
        <v>735</v>
      </c>
      <c r="B476" t="s">
        <v>613</v>
      </c>
      <c r="C476">
        <v>24</v>
      </c>
      <c r="D476" t="s">
        <v>8</v>
      </c>
      <c r="E476">
        <v>54</v>
      </c>
      <c r="F476" t="s">
        <v>189</v>
      </c>
      <c r="G476">
        <v>2.5</v>
      </c>
    </row>
    <row r="477" spans="1:7" x14ac:dyDescent="0.3">
      <c r="A477">
        <v>639</v>
      </c>
      <c r="B477" t="s">
        <v>678</v>
      </c>
      <c r="C477">
        <v>27</v>
      </c>
      <c r="D477" t="s">
        <v>8</v>
      </c>
      <c r="E477">
        <v>86</v>
      </c>
      <c r="F477" t="s">
        <v>521</v>
      </c>
      <c r="G477">
        <v>2.27</v>
      </c>
    </row>
    <row r="478" spans="1:7" x14ac:dyDescent="0.3">
      <c r="A478">
        <v>165</v>
      </c>
      <c r="B478" t="s">
        <v>264</v>
      </c>
      <c r="C478">
        <v>15</v>
      </c>
      <c r="D478" t="s">
        <v>8</v>
      </c>
      <c r="E478">
        <v>183</v>
      </c>
      <c r="F478" t="s">
        <v>265</v>
      </c>
      <c r="G478">
        <v>1.0900000000000001</v>
      </c>
    </row>
    <row r="479" spans="1:7" x14ac:dyDescent="0.3">
      <c r="A479">
        <v>655</v>
      </c>
      <c r="B479" t="s">
        <v>689</v>
      </c>
      <c r="C479">
        <v>15</v>
      </c>
      <c r="D479" t="s">
        <v>8</v>
      </c>
      <c r="E479">
        <v>20</v>
      </c>
      <c r="F479" t="s">
        <v>150</v>
      </c>
      <c r="G479">
        <v>3.27</v>
      </c>
    </row>
    <row r="480" spans="1:7" x14ac:dyDescent="0.3">
      <c r="A480">
        <v>213</v>
      </c>
      <c r="B480" t="s">
        <v>328</v>
      </c>
      <c r="C480">
        <v>29</v>
      </c>
      <c r="D480" t="s">
        <v>8</v>
      </c>
      <c r="E480">
        <v>2</v>
      </c>
      <c r="F480" t="s">
        <v>229</v>
      </c>
      <c r="G480">
        <v>2.48</v>
      </c>
    </row>
    <row r="481" spans="1:7" x14ac:dyDescent="0.3">
      <c r="A481">
        <v>240</v>
      </c>
      <c r="B481" t="s">
        <v>359</v>
      </c>
      <c r="C481">
        <v>16</v>
      </c>
      <c r="D481" t="s">
        <v>8</v>
      </c>
      <c r="E481">
        <v>82</v>
      </c>
      <c r="F481" t="s">
        <v>46</v>
      </c>
      <c r="G481">
        <v>4.9000000000000004</v>
      </c>
    </row>
    <row r="482" spans="1:7" x14ac:dyDescent="0.3">
      <c r="A482">
        <v>675</v>
      </c>
      <c r="B482" t="s">
        <v>359</v>
      </c>
      <c r="C482">
        <v>16</v>
      </c>
      <c r="D482" t="s">
        <v>8</v>
      </c>
      <c r="E482">
        <v>144</v>
      </c>
      <c r="F482" t="s">
        <v>278</v>
      </c>
      <c r="G482">
        <v>1.94</v>
      </c>
    </row>
    <row r="483" spans="1:7" x14ac:dyDescent="0.3">
      <c r="A483">
        <v>435</v>
      </c>
      <c r="B483" t="s">
        <v>539</v>
      </c>
      <c r="C483">
        <v>21</v>
      </c>
      <c r="D483" t="s">
        <v>8</v>
      </c>
      <c r="E483">
        <v>93</v>
      </c>
      <c r="F483" t="s">
        <v>523</v>
      </c>
      <c r="G483">
        <v>1.97</v>
      </c>
    </row>
    <row r="484" spans="1:7" x14ac:dyDescent="0.3">
      <c r="A484">
        <v>708</v>
      </c>
      <c r="B484" t="s">
        <v>539</v>
      </c>
      <c r="C484">
        <v>21</v>
      </c>
      <c r="D484" t="s">
        <v>8</v>
      </c>
      <c r="E484">
        <v>67</v>
      </c>
      <c r="F484" t="s">
        <v>451</v>
      </c>
      <c r="G484">
        <v>3.46</v>
      </c>
    </row>
    <row r="485" spans="1:7" x14ac:dyDescent="0.3">
      <c r="A485">
        <v>246</v>
      </c>
      <c r="B485" t="s">
        <v>365</v>
      </c>
      <c r="C485">
        <v>24</v>
      </c>
      <c r="D485" t="s">
        <v>8</v>
      </c>
      <c r="E485">
        <v>139</v>
      </c>
      <c r="F485" t="s">
        <v>196</v>
      </c>
      <c r="G485">
        <v>4.9400000000000004</v>
      </c>
    </row>
    <row r="486" spans="1:7" x14ac:dyDescent="0.3">
      <c r="A486">
        <v>320</v>
      </c>
      <c r="B486" t="s">
        <v>436</v>
      </c>
      <c r="C486">
        <v>24</v>
      </c>
      <c r="D486" t="s">
        <v>8</v>
      </c>
      <c r="E486">
        <v>77</v>
      </c>
      <c r="F486" t="s">
        <v>296</v>
      </c>
      <c r="G486">
        <v>4</v>
      </c>
    </row>
    <row r="487" spans="1:7" x14ac:dyDescent="0.3">
      <c r="A487">
        <v>651</v>
      </c>
      <c r="B487" t="s">
        <v>436</v>
      </c>
      <c r="C487">
        <v>24</v>
      </c>
      <c r="D487" t="s">
        <v>8</v>
      </c>
      <c r="E487">
        <v>132</v>
      </c>
      <c r="F487" t="s">
        <v>58</v>
      </c>
      <c r="G487">
        <v>3.33</v>
      </c>
    </row>
    <row r="488" spans="1:7" x14ac:dyDescent="0.3">
      <c r="A488">
        <v>160</v>
      </c>
      <c r="B488" t="s">
        <v>258</v>
      </c>
      <c r="C488">
        <v>24</v>
      </c>
      <c r="D488" t="s">
        <v>8</v>
      </c>
      <c r="E488">
        <v>44</v>
      </c>
      <c r="F488" t="s">
        <v>76</v>
      </c>
      <c r="G488">
        <v>2.38</v>
      </c>
    </row>
    <row r="489" spans="1:7" x14ac:dyDescent="0.3">
      <c r="A489">
        <v>525</v>
      </c>
      <c r="B489" t="s">
        <v>258</v>
      </c>
      <c r="C489">
        <v>24</v>
      </c>
      <c r="D489" t="s">
        <v>8</v>
      </c>
      <c r="E489">
        <v>126</v>
      </c>
      <c r="F489" t="s">
        <v>609</v>
      </c>
      <c r="G489">
        <v>2</v>
      </c>
    </row>
    <row r="490" spans="1:7" x14ac:dyDescent="0.3">
      <c r="A490">
        <v>265</v>
      </c>
      <c r="B490" t="s">
        <v>382</v>
      </c>
      <c r="C490">
        <v>25</v>
      </c>
      <c r="D490" t="s">
        <v>8</v>
      </c>
      <c r="E490">
        <v>172</v>
      </c>
      <c r="F490" t="s">
        <v>87</v>
      </c>
      <c r="G490">
        <v>3.14</v>
      </c>
    </row>
    <row r="491" spans="1:7" x14ac:dyDescent="0.3">
      <c r="A491">
        <v>531</v>
      </c>
      <c r="B491" t="s">
        <v>614</v>
      </c>
      <c r="C491">
        <v>12</v>
      </c>
      <c r="D491" t="s">
        <v>8</v>
      </c>
      <c r="E491">
        <v>143</v>
      </c>
      <c r="F491" t="s">
        <v>11</v>
      </c>
      <c r="G491">
        <v>1.56</v>
      </c>
    </row>
    <row r="492" spans="1:7" x14ac:dyDescent="0.3">
      <c r="A492">
        <v>475</v>
      </c>
      <c r="B492" t="s">
        <v>574</v>
      </c>
      <c r="C492">
        <v>24</v>
      </c>
      <c r="D492" t="s">
        <v>8</v>
      </c>
      <c r="E492">
        <v>6</v>
      </c>
      <c r="F492" t="s">
        <v>134</v>
      </c>
      <c r="G492">
        <v>3.7</v>
      </c>
    </row>
    <row r="493" spans="1:7" x14ac:dyDescent="0.3">
      <c r="A493">
        <v>691</v>
      </c>
      <c r="B493" t="s">
        <v>574</v>
      </c>
      <c r="C493">
        <v>24</v>
      </c>
      <c r="D493" t="s">
        <v>8</v>
      </c>
      <c r="E493">
        <v>112</v>
      </c>
      <c r="F493" t="s">
        <v>566</v>
      </c>
      <c r="G493">
        <v>2.6</v>
      </c>
    </row>
    <row r="494" spans="1:7" x14ac:dyDescent="0.3">
      <c r="A494">
        <v>77</v>
      </c>
      <c r="B494" t="s">
        <v>149</v>
      </c>
      <c r="C494">
        <v>34</v>
      </c>
      <c r="D494" t="s">
        <v>8</v>
      </c>
      <c r="E494">
        <v>20</v>
      </c>
      <c r="F494" t="s">
        <v>150</v>
      </c>
      <c r="G494">
        <v>3.27</v>
      </c>
    </row>
    <row r="495" spans="1:7" x14ac:dyDescent="0.3">
      <c r="A495">
        <v>770</v>
      </c>
      <c r="B495" t="s">
        <v>149</v>
      </c>
      <c r="C495">
        <v>34</v>
      </c>
      <c r="D495" t="s">
        <v>8</v>
      </c>
      <c r="E495">
        <v>12</v>
      </c>
      <c r="F495" t="s">
        <v>158</v>
      </c>
      <c r="G495">
        <v>1.02</v>
      </c>
    </row>
    <row r="496" spans="1:7" x14ac:dyDescent="0.3">
      <c r="A496">
        <v>244</v>
      </c>
      <c r="B496" t="s">
        <v>364</v>
      </c>
      <c r="C496">
        <v>24</v>
      </c>
      <c r="D496" t="s">
        <v>8</v>
      </c>
      <c r="E496">
        <v>37</v>
      </c>
      <c r="F496" t="s">
        <v>68</v>
      </c>
      <c r="G496">
        <v>3.16</v>
      </c>
    </row>
    <row r="497" spans="1:7" x14ac:dyDescent="0.3">
      <c r="A497">
        <v>682</v>
      </c>
      <c r="B497" t="s">
        <v>364</v>
      </c>
      <c r="C497">
        <v>24</v>
      </c>
      <c r="D497" t="s">
        <v>8</v>
      </c>
      <c r="E497">
        <v>135</v>
      </c>
      <c r="F497" t="s">
        <v>283</v>
      </c>
      <c r="G497">
        <v>1.4</v>
      </c>
    </row>
    <row r="498" spans="1:7" x14ac:dyDescent="0.3">
      <c r="A498">
        <v>26</v>
      </c>
      <c r="B498" t="s">
        <v>61</v>
      </c>
      <c r="C498">
        <v>11</v>
      </c>
      <c r="D498" t="s">
        <v>8</v>
      </c>
      <c r="E498">
        <v>71</v>
      </c>
      <c r="F498" t="s">
        <v>62</v>
      </c>
      <c r="G498">
        <v>1.61</v>
      </c>
    </row>
    <row r="499" spans="1:7" x14ac:dyDescent="0.3">
      <c r="A499">
        <v>299</v>
      </c>
      <c r="B499" t="s">
        <v>61</v>
      </c>
      <c r="C499">
        <v>11</v>
      </c>
      <c r="D499" t="s">
        <v>8</v>
      </c>
      <c r="E499">
        <v>164</v>
      </c>
      <c r="F499" t="s">
        <v>175</v>
      </c>
      <c r="G499">
        <v>1.63</v>
      </c>
    </row>
    <row r="500" spans="1:7" x14ac:dyDescent="0.3">
      <c r="A500">
        <v>190</v>
      </c>
      <c r="B500" t="s">
        <v>302</v>
      </c>
      <c r="C500">
        <v>27</v>
      </c>
      <c r="D500" t="s">
        <v>8</v>
      </c>
      <c r="E500">
        <v>69</v>
      </c>
      <c r="F500" t="s">
        <v>303</v>
      </c>
      <c r="G500">
        <v>1.98</v>
      </c>
    </row>
    <row r="501" spans="1:7" x14ac:dyDescent="0.3">
      <c r="A501">
        <v>139</v>
      </c>
      <c r="B501" t="s">
        <v>235</v>
      </c>
      <c r="C501">
        <v>13</v>
      </c>
      <c r="D501" t="s">
        <v>8</v>
      </c>
      <c r="E501">
        <v>158</v>
      </c>
      <c r="F501" t="s">
        <v>236</v>
      </c>
      <c r="G501">
        <v>2.4500000000000002</v>
      </c>
    </row>
    <row r="502" spans="1:7" x14ac:dyDescent="0.3">
      <c r="A502">
        <v>292</v>
      </c>
      <c r="B502" t="s">
        <v>235</v>
      </c>
      <c r="C502">
        <v>13</v>
      </c>
      <c r="D502" t="s">
        <v>8</v>
      </c>
      <c r="E502">
        <v>70</v>
      </c>
      <c r="F502" t="s">
        <v>379</v>
      </c>
      <c r="G502">
        <v>1.03</v>
      </c>
    </row>
    <row r="503" spans="1:7" x14ac:dyDescent="0.3">
      <c r="A503">
        <v>96</v>
      </c>
      <c r="B503" t="s">
        <v>176</v>
      </c>
      <c r="C503">
        <v>16</v>
      </c>
      <c r="D503" t="s">
        <v>8</v>
      </c>
      <c r="E503">
        <v>56</v>
      </c>
      <c r="F503" t="s">
        <v>130</v>
      </c>
      <c r="G503">
        <v>2.92</v>
      </c>
    </row>
    <row r="504" spans="1:7" x14ac:dyDescent="0.3">
      <c r="A504">
        <v>659</v>
      </c>
      <c r="B504" t="s">
        <v>692</v>
      </c>
      <c r="C504">
        <v>36</v>
      </c>
      <c r="D504" t="s">
        <v>8</v>
      </c>
      <c r="E504">
        <v>140</v>
      </c>
      <c r="F504" t="s">
        <v>70</v>
      </c>
      <c r="G504">
        <v>2.94</v>
      </c>
    </row>
    <row r="505" spans="1:7" x14ac:dyDescent="0.3">
      <c r="A505">
        <v>724</v>
      </c>
      <c r="B505" t="s">
        <v>732</v>
      </c>
      <c r="C505">
        <v>25</v>
      </c>
      <c r="D505" t="s">
        <v>8</v>
      </c>
      <c r="E505">
        <v>144</v>
      </c>
      <c r="F505" t="s">
        <v>278</v>
      </c>
      <c r="G505">
        <v>1.94</v>
      </c>
    </row>
    <row r="506" spans="1:7" x14ac:dyDescent="0.3">
      <c r="A506">
        <v>129</v>
      </c>
      <c r="B506" t="s">
        <v>222</v>
      </c>
      <c r="C506">
        <v>19</v>
      </c>
      <c r="D506" t="s">
        <v>8</v>
      </c>
      <c r="E506">
        <v>74</v>
      </c>
      <c r="F506" t="s">
        <v>223</v>
      </c>
      <c r="G506">
        <v>4.18</v>
      </c>
    </row>
    <row r="507" spans="1:7" x14ac:dyDescent="0.3">
      <c r="A507">
        <v>709</v>
      </c>
      <c r="B507" t="s">
        <v>222</v>
      </c>
      <c r="C507">
        <v>19</v>
      </c>
      <c r="D507" t="s">
        <v>8</v>
      </c>
      <c r="E507">
        <v>75</v>
      </c>
      <c r="F507" t="s">
        <v>218</v>
      </c>
      <c r="G507">
        <v>2.42</v>
      </c>
    </row>
    <row r="508" spans="1:7" x14ac:dyDescent="0.3">
      <c r="A508">
        <v>592</v>
      </c>
      <c r="B508" t="s">
        <v>654</v>
      </c>
      <c r="C508">
        <v>22</v>
      </c>
      <c r="D508" t="s">
        <v>8</v>
      </c>
      <c r="E508">
        <v>170</v>
      </c>
      <c r="F508" t="s">
        <v>101</v>
      </c>
      <c r="G508">
        <v>3.97</v>
      </c>
    </row>
    <row r="509" spans="1:7" x14ac:dyDescent="0.3">
      <c r="A509">
        <v>411</v>
      </c>
      <c r="B509" t="s">
        <v>519</v>
      </c>
      <c r="C509">
        <v>10</v>
      </c>
      <c r="D509" t="s">
        <v>8</v>
      </c>
      <c r="E509">
        <v>101</v>
      </c>
      <c r="F509" t="s">
        <v>13</v>
      </c>
      <c r="G509">
        <v>4.1900000000000004</v>
      </c>
    </row>
    <row r="510" spans="1:7" x14ac:dyDescent="0.3">
      <c r="A510">
        <v>712</v>
      </c>
      <c r="B510" t="s">
        <v>725</v>
      </c>
      <c r="C510">
        <v>25</v>
      </c>
      <c r="D510" t="s">
        <v>8</v>
      </c>
      <c r="E510">
        <v>92</v>
      </c>
      <c r="F510" t="s">
        <v>13</v>
      </c>
      <c r="G510">
        <v>4.88</v>
      </c>
    </row>
    <row r="511" spans="1:7" x14ac:dyDescent="0.3">
      <c r="A511">
        <v>527</v>
      </c>
      <c r="B511" t="s">
        <v>610</v>
      </c>
      <c r="C511">
        <v>24</v>
      </c>
      <c r="D511" t="s">
        <v>8</v>
      </c>
      <c r="E511">
        <v>102</v>
      </c>
      <c r="F511" t="s">
        <v>99</v>
      </c>
      <c r="G511">
        <v>3.44</v>
      </c>
    </row>
    <row r="512" spans="1:7" x14ac:dyDescent="0.3">
      <c r="A512">
        <v>604</v>
      </c>
      <c r="B512" t="s">
        <v>610</v>
      </c>
      <c r="C512">
        <v>24</v>
      </c>
      <c r="D512" t="s">
        <v>8</v>
      </c>
      <c r="E512">
        <v>34</v>
      </c>
      <c r="F512" t="s">
        <v>132</v>
      </c>
      <c r="G512">
        <v>2.2200000000000002</v>
      </c>
    </row>
    <row r="513" spans="1:7" x14ac:dyDescent="0.3">
      <c r="A513">
        <v>0</v>
      </c>
      <c r="B513" t="s">
        <v>7</v>
      </c>
      <c r="C513">
        <v>20</v>
      </c>
      <c r="D513" t="s">
        <v>8</v>
      </c>
      <c r="E513">
        <v>108</v>
      </c>
      <c r="F513" t="s">
        <v>9</v>
      </c>
      <c r="G513">
        <v>3.53</v>
      </c>
    </row>
    <row r="514" spans="1:7" x14ac:dyDescent="0.3">
      <c r="A514">
        <v>67</v>
      </c>
      <c r="B514" t="s">
        <v>7</v>
      </c>
      <c r="C514">
        <v>20</v>
      </c>
      <c r="D514" t="s">
        <v>8</v>
      </c>
      <c r="E514">
        <v>138</v>
      </c>
      <c r="F514" t="s">
        <v>103</v>
      </c>
      <c r="G514">
        <v>4.74</v>
      </c>
    </row>
    <row r="515" spans="1:7" x14ac:dyDescent="0.3">
      <c r="A515">
        <v>245</v>
      </c>
      <c r="B515" t="s">
        <v>7</v>
      </c>
      <c r="C515">
        <v>20</v>
      </c>
      <c r="D515" t="s">
        <v>8</v>
      </c>
      <c r="E515">
        <v>85</v>
      </c>
      <c r="F515" t="s">
        <v>193</v>
      </c>
      <c r="G515">
        <v>1.75</v>
      </c>
    </row>
    <row r="516" spans="1:7" x14ac:dyDescent="0.3">
      <c r="A516">
        <v>412</v>
      </c>
      <c r="B516" t="s">
        <v>520</v>
      </c>
      <c r="C516">
        <v>32</v>
      </c>
      <c r="D516" t="s">
        <v>8</v>
      </c>
      <c r="E516">
        <v>86</v>
      </c>
      <c r="F516" t="s">
        <v>521</v>
      </c>
      <c r="G516">
        <v>2.27</v>
      </c>
    </row>
    <row r="517" spans="1:7" x14ac:dyDescent="0.3">
      <c r="A517">
        <v>16</v>
      </c>
      <c r="B517" t="s">
        <v>41</v>
      </c>
      <c r="C517">
        <v>20</v>
      </c>
      <c r="D517" t="s">
        <v>8</v>
      </c>
      <c r="E517">
        <v>40</v>
      </c>
      <c r="F517" t="s">
        <v>42</v>
      </c>
      <c r="G517">
        <v>2.52</v>
      </c>
    </row>
    <row r="518" spans="1:7" x14ac:dyDescent="0.3">
      <c r="A518">
        <v>25</v>
      </c>
      <c r="B518" t="s">
        <v>59</v>
      </c>
      <c r="C518">
        <v>29</v>
      </c>
      <c r="D518" t="s">
        <v>8</v>
      </c>
      <c r="E518">
        <v>178</v>
      </c>
      <c r="F518" t="s">
        <v>60</v>
      </c>
      <c r="G518">
        <v>4.2300000000000004</v>
      </c>
    </row>
    <row r="519" spans="1:7" x14ac:dyDescent="0.3">
      <c r="A519">
        <v>122</v>
      </c>
      <c r="B519" t="s">
        <v>213</v>
      </c>
      <c r="C519">
        <v>16</v>
      </c>
      <c r="D519" t="s">
        <v>8</v>
      </c>
      <c r="E519">
        <v>174</v>
      </c>
      <c r="F519" t="s">
        <v>155</v>
      </c>
      <c r="G519">
        <v>3.47</v>
      </c>
    </row>
    <row r="520" spans="1:7" x14ac:dyDescent="0.3">
      <c r="A520">
        <v>238</v>
      </c>
      <c r="B520" t="s">
        <v>355</v>
      </c>
      <c r="C520">
        <v>21</v>
      </c>
      <c r="D520" t="s">
        <v>8</v>
      </c>
      <c r="E520">
        <v>42</v>
      </c>
      <c r="F520" t="s">
        <v>356</v>
      </c>
      <c r="G520">
        <v>1.75</v>
      </c>
    </row>
    <row r="521" spans="1:7" x14ac:dyDescent="0.3">
      <c r="A521">
        <v>723</v>
      </c>
      <c r="B521" t="s">
        <v>355</v>
      </c>
      <c r="C521">
        <v>21</v>
      </c>
      <c r="D521" t="s">
        <v>8</v>
      </c>
      <c r="E521">
        <v>177</v>
      </c>
      <c r="F521" t="s">
        <v>728</v>
      </c>
      <c r="G521">
        <v>2.08</v>
      </c>
    </row>
    <row r="522" spans="1:7" x14ac:dyDescent="0.3">
      <c r="A522">
        <v>328</v>
      </c>
      <c r="B522" t="s">
        <v>443</v>
      </c>
      <c r="C522">
        <v>17</v>
      </c>
      <c r="D522" t="s">
        <v>8</v>
      </c>
      <c r="E522">
        <v>152</v>
      </c>
      <c r="F522" t="s">
        <v>121</v>
      </c>
      <c r="G522">
        <v>1.74</v>
      </c>
    </row>
    <row r="523" spans="1:7" x14ac:dyDescent="0.3">
      <c r="A523">
        <v>751</v>
      </c>
      <c r="B523" t="s">
        <v>751</v>
      </c>
      <c r="C523">
        <v>11</v>
      </c>
      <c r="D523" t="s">
        <v>8</v>
      </c>
      <c r="E523">
        <v>180</v>
      </c>
      <c r="F523" t="s">
        <v>267</v>
      </c>
      <c r="G523">
        <v>3.36</v>
      </c>
    </row>
    <row r="524" spans="1:7" x14ac:dyDescent="0.3">
      <c r="A524">
        <v>192</v>
      </c>
      <c r="B524" t="s">
        <v>305</v>
      </c>
      <c r="C524">
        <v>25</v>
      </c>
      <c r="D524" t="s">
        <v>8</v>
      </c>
      <c r="E524">
        <v>98</v>
      </c>
      <c r="F524" t="s">
        <v>40</v>
      </c>
      <c r="G524">
        <v>2.89</v>
      </c>
    </row>
    <row r="525" spans="1:7" x14ac:dyDescent="0.3">
      <c r="A525">
        <v>170</v>
      </c>
      <c r="B525" t="s">
        <v>272</v>
      </c>
      <c r="C525">
        <v>22</v>
      </c>
      <c r="D525" t="s">
        <v>8</v>
      </c>
      <c r="E525">
        <v>75</v>
      </c>
      <c r="F525" t="s">
        <v>218</v>
      </c>
      <c r="G525">
        <v>2.42</v>
      </c>
    </row>
    <row r="526" spans="1:7" x14ac:dyDescent="0.3">
      <c r="A526">
        <v>293</v>
      </c>
      <c r="B526" t="s">
        <v>272</v>
      </c>
      <c r="C526">
        <v>22</v>
      </c>
      <c r="D526" t="s">
        <v>8</v>
      </c>
      <c r="E526">
        <v>117</v>
      </c>
      <c r="F526" t="s">
        <v>207</v>
      </c>
      <c r="G526">
        <v>1.79</v>
      </c>
    </row>
    <row r="527" spans="1:7" x14ac:dyDescent="0.3">
      <c r="A527">
        <v>472</v>
      </c>
      <c r="B527" t="s">
        <v>272</v>
      </c>
      <c r="C527">
        <v>22</v>
      </c>
      <c r="D527" t="s">
        <v>8</v>
      </c>
      <c r="E527">
        <v>18</v>
      </c>
      <c r="F527" t="s">
        <v>385</v>
      </c>
      <c r="G527">
        <v>4.6500000000000004</v>
      </c>
    </row>
    <row r="528" spans="1:7" x14ac:dyDescent="0.3">
      <c r="A528">
        <v>334</v>
      </c>
      <c r="B528" t="s">
        <v>449</v>
      </c>
      <c r="C528">
        <v>21</v>
      </c>
      <c r="D528" t="s">
        <v>8</v>
      </c>
      <c r="E528">
        <v>11</v>
      </c>
      <c r="F528" t="s">
        <v>298</v>
      </c>
      <c r="G528">
        <v>3.65</v>
      </c>
    </row>
    <row r="529" spans="1:7" x14ac:dyDescent="0.3">
      <c r="A529">
        <v>74</v>
      </c>
      <c r="B529" t="s">
        <v>144</v>
      </c>
      <c r="C529">
        <v>25</v>
      </c>
      <c r="D529" t="s">
        <v>8</v>
      </c>
      <c r="E529">
        <v>89</v>
      </c>
      <c r="F529" t="s">
        <v>48</v>
      </c>
      <c r="G529">
        <v>4.6399999999999997</v>
      </c>
    </row>
    <row r="530" spans="1:7" x14ac:dyDescent="0.3">
      <c r="A530">
        <v>120</v>
      </c>
      <c r="B530" t="s">
        <v>144</v>
      </c>
      <c r="C530">
        <v>25</v>
      </c>
      <c r="D530" t="s">
        <v>8</v>
      </c>
      <c r="E530">
        <v>24</v>
      </c>
      <c r="F530" t="s">
        <v>54</v>
      </c>
      <c r="G530">
        <v>3.81</v>
      </c>
    </row>
    <row r="531" spans="1:7" x14ac:dyDescent="0.3">
      <c r="A531">
        <v>224</v>
      </c>
      <c r="B531" t="s">
        <v>144</v>
      </c>
      <c r="C531">
        <v>25</v>
      </c>
      <c r="D531" t="s">
        <v>8</v>
      </c>
      <c r="E531">
        <v>157</v>
      </c>
      <c r="F531" t="s">
        <v>269</v>
      </c>
      <c r="G531">
        <v>4.8</v>
      </c>
    </row>
    <row r="532" spans="1:7" x14ac:dyDescent="0.3">
      <c r="A532">
        <v>603</v>
      </c>
      <c r="B532" t="s">
        <v>144</v>
      </c>
      <c r="C532">
        <v>25</v>
      </c>
      <c r="D532" t="s">
        <v>8</v>
      </c>
      <c r="E532">
        <v>141</v>
      </c>
      <c r="F532" t="s">
        <v>58</v>
      </c>
      <c r="G532">
        <v>3.19</v>
      </c>
    </row>
    <row r="533" spans="1:7" x14ac:dyDescent="0.3">
      <c r="A533">
        <v>609</v>
      </c>
      <c r="B533" t="s">
        <v>144</v>
      </c>
      <c r="C533">
        <v>25</v>
      </c>
      <c r="D533" t="s">
        <v>8</v>
      </c>
      <c r="E533">
        <v>40</v>
      </c>
      <c r="F533" t="s">
        <v>42</v>
      </c>
      <c r="G533">
        <v>2.52</v>
      </c>
    </row>
    <row r="534" spans="1:7" x14ac:dyDescent="0.3">
      <c r="A534">
        <v>338</v>
      </c>
      <c r="B534" t="s">
        <v>455</v>
      </c>
      <c r="C534">
        <v>22</v>
      </c>
      <c r="D534" t="s">
        <v>8</v>
      </c>
      <c r="E534">
        <v>13</v>
      </c>
      <c r="F534" t="s">
        <v>204</v>
      </c>
      <c r="G534">
        <v>1.41</v>
      </c>
    </row>
    <row r="535" spans="1:7" x14ac:dyDescent="0.3">
      <c r="A535">
        <v>710</v>
      </c>
      <c r="B535" t="s">
        <v>455</v>
      </c>
      <c r="C535">
        <v>22</v>
      </c>
      <c r="D535" t="s">
        <v>8</v>
      </c>
      <c r="E535">
        <v>99</v>
      </c>
      <c r="F535" t="s">
        <v>191</v>
      </c>
      <c r="G535">
        <v>1.71</v>
      </c>
    </row>
    <row r="536" spans="1:7" x14ac:dyDescent="0.3">
      <c r="A536">
        <v>326</v>
      </c>
      <c r="B536" t="s">
        <v>441</v>
      </c>
      <c r="C536">
        <v>25</v>
      </c>
      <c r="D536" t="s">
        <v>8</v>
      </c>
      <c r="E536">
        <v>54</v>
      </c>
      <c r="F536" t="s">
        <v>189</v>
      </c>
      <c r="G536">
        <v>2.5</v>
      </c>
    </row>
    <row r="537" spans="1:7" x14ac:dyDescent="0.3">
      <c r="A537">
        <v>455</v>
      </c>
      <c r="B537" t="s">
        <v>555</v>
      </c>
      <c r="C537">
        <v>20</v>
      </c>
      <c r="D537" t="s">
        <v>8</v>
      </c>
      <c r="E537">
        <v>103</v>
      </c>
      <c r="F537" t="s">
        <v>280</v>
      </c>
      <c r="G537">
        <v>4.3499999999999996</v>
      </c>
    </row>
    <row r="538" spans="1:7" x14ac:dyDescent="0.3">
      <c r="A538">
        <v>127</v>
      </c>
      <c r="B538" t="s">
        <v>219</v>
      </c>
      <c r="C538">
        <v>37</v>
      </c>
      <c r="D538" t="s">
        <v>8</v>
      </c>
      <c r="E538">
        <v>102</v>
      </c>
      <c r="F538" t="s">
        <v>99</v>
      </c>
      <c r="G538">
        <v>3.44</v>
      </c>
    </row>
    <row r="539" spans="1:7" x14ac:dyDescent="0.3">
      <c r="A539">
        <v>1</v>
      </c>
      <c r="B539" t="s">
        <v>10</v>
      </c>
      <c r="C539">
        <v>40</v>
      </c>
      <c r="D539" t="s">
        <v>8</v>
      </c>
      <c r="E539">
        <v>143</v>
      </c>
      <c r="F539" t="s">
        <v>11</v>
      </c>
      <c r="G539">
        <v>1.56</v>
      </c>
    </row>
    <row r="540" spans="1:7" x14ac:dyDescent="0.3">
      <c r="A540">
        <v>547</v>
      </c>
      <c r="B540" t="s">
        <v>625</v>
      </c>
      <c r="C540">
        <v>18</v>
      </c>
      <c r="D540" t="s">
        <v>8</v>
      </c>
      <c r="E540">
        <v>135</v>
      </c>
      <c r="F540" t="s">
        <v>283</v>
      </c>
      <c r="G540">
        <v>1.4</v>
      </c>
    </row>
    <row r="541" spans="1:7" x14ac:dyDescent="0.3">
      <c r="A541">
        <v>362</v>
      </c>
      <c r="B541" t="s">
        <v>478</v>
      </c>
      <c r="C541">
        <v>22</v>
      </c>
      <c r="D541" t="s">
        <v>8</v>
      </c>
      <c r="E541">
        <v>107</v>
      </c>
      <c r="F541" t="s">
        <v>352</v>
      </c>
      <c r="G541">
        <v>2.1800000000000002</v>
      </c>
    </row>
    <row r="542" spans="1:7" x14ac:dyDescent="0.3">
      <c r="A542">
        <v>488</v>
      </c>
      <c r="B542" t="s">
        <v>583</v>
      </c>
      <c r="C542">
        <v>23</v>
      </c>
      <c r="D542" t="s">
        <v>8</v>
      </c>
      <c r="E542">
        <v>44</v>
      </c>
      <c r="F542" t="s">
        <v>76</v>
      </c>
      <c r="G542">
        <v>2.38</v>
      </c>
    </row>
    <row r="543" spans="1:7" x14ac:dyDescent="0.3">
      <c r="A543">
        <v>188</v>
      </c>
      <c r="B543" t="s">
        <v>299</v>
      </c>
      <c r="C543">
        <v>18</v>
      </c>
      <c r="D543" t="s">
        <v>8</v>
      </c>
      <c r="E543">
        <v>88</v>
      </c>
      <c r="F543" t="s">
        <v>148</v>
      </c>
      <c r="G543">
        <v>3.75</v>
      </c>
    </row>
    <row r="544" spans="1:7" x14ac:dyDescent="0.3">
      <c r="A544">
        <v>725</v>
      </c>
      <c r="B544" t="s">
        <v>299</v>
      </c>
      <c r="C544">
        <v>18</v>
      </c>
      <c r="D544" t="s">
        <v>8</v>
      </c>
      <c r="E544">
        <v>72</v>
      </c>
      <c r="F544" t="s">
        <v>92</v>
      </c>
      <c r="G544">
        <v>3.77</v>
      </c>
    </row>
    <row r="545" spans="1:7" x14ac:dyDescent="0.3">
      <c r="A545">
        <v>707</v>
      </c>
      <c r="B545" t="s">
        <v>724</v>
      </c>
      <c r="C545">
        <v>20</v>
      </c>
      <c r="D545" t="s">
        <v>8</v>
      </c>
      <c r="E545">
        <v>38</v>
      </c>
      <c r="F545" t="s">
        <v>425</v>
      </c>
      <c r="G545">
        <v>2.37</v>
      </c>
    </row>
    <row r="546" spans="1:7" x14ac:dyDescent="0.3">
      <c r="A546">
        <v>476</v>
      </c>
      <c r="B546" t="s">
        <v>575</v>
      </c>
      <c r="C546">
        <v>21</v>
      </c>
      <c r="D546" t="s">
        <v>8</v>
      </c>
      <c r="E546">
        <v>103</v>
      </c>
      <c r="F546" t="s">
        <v>280</v>
      </c>
      <c r="G546">
        <v>4.3499999999999996</v>
      </c>
    </row>
    <row r="547" spans="1:7" x14ac:dyDescent="0.3">
      <c r="A547">
        <v>130</v>
      </c>
      <c r="B547" t="s">
        <v>224</v>
      </c>
      <c r="C547">
        <v>25</v>
      </c>
      <c r="D547" t="s">
        <v>8</v>
      </c>
      <c r="E547">
        <v>120</v>
      </c>
      <c r="F547" t="s">
        <v>225</v>
      </c>
      <c r="G547">
        <v>3.08</v>
      </c>
    </row>
    <row r="548" spans="1:7" x14ac:dyDescent="0.3">
      <c r="A548">
        <v>151</v>
      </c>
      <c r="B548" t="s">
        <v>249</v>
      </c>
      <c r="C548">
        <v>25</v>
      </c>
      <c r="D548" t="s">
        <v>8</v>
      </c>
      <c r="E548">
        <v>105</v>
      </c>
      <c r="F548" t="s">
        <v>123</v>
      </c>
      <c r="G548">
        <v>3.03</v>
      </c>
    </row>
    <row r="549" spans="1:7" x14ac:dyDescent="0.3">
      <c r="A549">
        <v>399</v>
      </c>
      <c r="B549" t="s">
        <v>512</v>
      </c>
      <c r="C549">
        <v>19</v>
      </c>
      <c r="D549" t="s">
        <v>8</v>
      </c>
      <c r="E549">
        <v>143</v>
      </c>
      <c r="F549" t="s">
        <v>11</v>
      </c>
      <c r="G549">
        <v>1.56</v>
      </c>
    </row>
    <row r="550" spans="1:7" x14ac:dyDescent="0.3">
      <c r="A550">
        <v>452</v>
      </c>
      <c r="B550" t="s">
        <v>512</v>
      </c>
      <c r="C550">
        <v>19</v>
      </c>
      <c r="D550" t="s">
        <v>8</v>
      </c>
      <c r="E550">
        <v>32</v>
      </c>
      <c r="F550" t="s">
        <v>293</v>
      </c>
      <c r="G550">
        <v>1.1399999999999999</v>
      </c>
    </row>
    <row r="551" spans="1:7" x14ac:dyDescent="0.3">
      <c r="A551">
        <v>181</v>
      </c>
      <c r="B551" t="s">
        <v>287</v>
      </c>
      <c r="C551">
        <v>16</v>
      </c>
      <c r="D551" t="s">
        <v>8</v>
      </c>
      <c r="E551">
        <v>51</v>
      </c>
      <c r="F551" t="s">
        <v>288</v>
      </c>
      <c r="G551">
        <v>4.66</v>
      </c>
    </row>
    <row r="552" spans="1:7" x14ac:dyDescent="0.3">
      <c r="A552">
        <v>152</v>
      </c>
      <c r="B552" t="s">
        <v>250</v>
      </c>
      <c r="C552">
        <v>20</v>
      </c>
      <c r="D552" t="s">
        <v>8</v>
      </c>
      <c r="E552">
        <v>110</v>
      </c>
      <c r="F552" t="s">
        <v>105</v>
      </c>
      <c r="G552">
        <v>1.44</v>
      </c>
    </row>
    <row r="553" spans="1:7" x14ac:dyDescent="0.3">
      <c r="A553">
        <v>414</v>
      </c>
      <c r="B553" t="s">
        <v>524</v>
      </c>
      <c r="C553">
        <v>23</v>
      </c>
      <c r="D553" t="s">
        <v>8</v>
      </c>
      <c r="E553">
        <v>108</v>
      </c>
      <c r="F553" t="s">
        <v>9</v>
      </c>
      <c r="G553">
        <v>3.53</v>
      </c>
    </row>
    <row r="554" spans="1:7" x14ac:dyDescent="0.3">
      <c r="A554">
        <v>102</v>
      </c>
      <c r="B554" t="s">
        <v>182</v>
      </c>
      <c r="C554">
        <v>24</v>
      </c>
      <c r="D554" t="s">
        <v>8</v>
      </c>
      <c r="E554">
        <v>109</v>
      </c>
      <c r="F554" t="s">
        <v>183</v>
      </c>
      <c r="G554">
        <v>4.76</v>
      </c>
    </row>
    <row r="555" spans="1:7" x14ac:dyDescent="0.3">
      <c r="A555">
        <v>491</v>
      </c>
      <c r="B555" t="s">
        <v>585</v>
      </c>
      <c r="C555">
        <v>22</v>
      </c>
      <c r="D555" t="s">
        <v>8</v>
      </c>
      <c r="E555">
        <v>22</v>
      </c>
      <c r="F555" t="s">
        <v>106</v>
      </c>
      <c r="G555">
        <v>2.1800000000000002</v>
      </c>
    </row>
    <row r="556" spans="1:7" x14ac:dyDescent="0.3">
      <c r="A556">
        <v>737</v>
      </c>
      <c r="B556" t="s">
        <v>741</v>
      </c>
      <c r="C556">
        <v>22</v>
      </c>
      <c r="D556" t="s">
        <v>8</v>
      </c>
      <c r="E556">
        <v>149</v>
      </c>
      <c r="F556" t="s">
        <v>320</v>
      </c>
      <c r="G556">
        <v>1.75</v>
      </c>
    </row>
    <row r="557" spans="1:7" x14ac:dyDescent="0.3">
      <c r="A557">
        <v>562</v>
      </c>
      <c r="B557" t="s">
        <v>633</v>
      </c>
      <c r="C557">
        <v>30</v>
      </c>
      <c r="D557" t="s">
        <v>8</v>
      </c>
      <c r="E557">
        <v>83</v>
      </c>
      <c r="F557" t="s">
        <v>363</v>
      </c>
      <c r="G557">
        <v>3.33</v>
      </c>
    </row>
    <row r="558" spans="1:7" x14ac:dyDescent="0.3">
      <c r="A558">
        <v>624</v>
      </c>
      <c r="B558" t="s">
        <v>633</v>
      </c>
      <c r="C558">
        <v>30</v>
      </c>
      <c r="D558" t="s">
        <v>8</v>
      </c>
      <c r="E558">
        <v>29</v>
      </c>
      <c r="F558" t="s">
        <v>140</v>
      </c>
      <c r="G558">
        <v>1.98</v>
      </c>
    </row>
    <row r="559" spans="1:7" x14ac:dyDescent="0.3">
      <c r="A559">
        <v>522</v>
      </c>
      <c r="B559" t="s">
        <v>606</v>
      </c>
      <c r="C559">
        <v>18</v>
      </c>
      <c r="D559" t="s">
        <v>8</v>
      </c>
      <c r="E559">
        <v>82</v>
      </c>
      <c r="F559" t="s">
        <v>46</v>
      </c>
      <c r="G559">
        <v>4.9000000000000004</v>
      </c>
    </row>
    <row r="560" spans="1:7" x14ac:dyDescent="0.3">
      <c r="A560">
        <v>669</v>
      </c>
      <c r="B560" t="s">
        <v>701</v>
      </c>
      <c r="C560">
        <v>22</v>
      </c>
      <c r="D560" t="s">
        <v>8</v>
      </c>
      <c r="E560">
        <v>45</v>
      </c>
      <c r="F560" t="s">
        <v>453</v>
      </c>
      <c r="G560">
        <v>3.85</v>
      </c>
    </row>
    <row r="561" spans="1:7" x14ac:dyDescent="0.3">
      <c r="A561">
        <v>694</v>
      </c>
      <c r="B561" t="s">
        <v>701</v>
      </c>
      <c r="C561">
        <v>22</v>
      </c>
      <c r="D561" t="s">
        <v>8</v>
      </c>
      <c r="E561">
        <v>164</v>
      </c>
      <c r="F561" t="s">
        <v>175</v>
      </c>
      <c r="G561">
        <v>1.63</v>
      </c>
    </row>
    <row r="562" spans="1:7" x14ac:dyDescent="0.3">
      <c r="A562">
        <v>197</v>
      </c>
      <c r="B562" t="s">
        <v>311</v>
      </c>
      <c r="C562">
        <v>24</v>
      </c>
      <c r="D562" t="s">
        <v>8</v>
      </c>
      <c r="E562">
        <v>37</v>
      </c>
      <c r="F562" t="s">
        <v>68</v>
      </c>
      <c r="G562">
        <v>3.16</v>
      </c>
    </row>
    <row r="563" spans="1:7" x14ac:dyDescent="0.3">
      <c r="A563">
        <v>662</v>
      </c>
      <c r="B563" t="s">
        <v>693</v>
      </c>
      <c r="C563">
        <v>21</v>
      </c>
      <c r="D563" t="s">
        <v>8</v>
      </c>
      <c r="E563">
        <v>0</v>
      </c>
      <c r="F563" t="s">
        <v>228</v>
      </c>
      <c r="G563">
        <v>1.28</v>
      </c>
    </row>
    <row r="564" spans="1:7" x14ac:dyDescent="0.3">
      <c r="A564">
        <v>646</v>
      </c>
      <c r="B564" t="s">
        <v>684</v>
      </c>
      <c r="C564">
        <v>23</v>
      </c>
      <c r="D564" t="s">
        <v>8</v>
      </c>
      <c r="E564">
        <v>116</v>
      </c>
      <c r="F564" t="s">
        <v>33</v>
      </c>
      <c r="G564">
        <v>4.18</v>
      </c>
    </row>
    <row r="565" spans="1:7" x14ac:dyDescent="0.3">
      <c r="A565">
        <v>739</v>
      </c>
      <c r="B565" t="s">
        <v>743</v>
      </c>
      <c r="C565">
        <v>35</v>
      </c>
      <c r="D565" t="s">
        <v>8</v>
      </c>
      <c r="E565">
        <v>61</v>
      </c>
      <c r="F565" t="s">
        <v>557</v>
      </c>
      <c r="G565">
        <v>3.87</v>
      </c>
    </row>
    <row r="566" spans="1:7" x14ac:dyDescent="0.3">
      <c r="A566">
        <v>179</v>
      </c>
      <c r="B566" t="s">
        <v>285</v>
      </c>
      <c r="C566">
        <v>24</v>
      </c>
      <c r="D566" t="s">
        <v>8</v>
      </c>
      <c r="E566">
        <v>59</v>
      </c>
      <c r="F566" t="s">
        <v>169</v>
      </c>
      <c r="G566">
        <v>4.2300000000000004</v>
      </c>
    </row>
    <row r="567" spans="1:7" x14ac:dyDescent="0.3">
      <c r="A567">
        <v>752</v>
      </c>
      <c r="B567" t="s">
        <v>752</v>
      </c>
      <c r="C567">
        <v>17</v>
      </c>
      <c r="D567" t="s">
        <v>8</v>
      </c>
      <c r="E567">
        <v>112</v>
      </c>
      <c r="F567" t="s">
        <v>566</v>
      </c>
      <c r="G567">
        <v>2.6</v>
      </c>
    </row>
    <row r="568" spans="1:7" x14ac:dyDescent="0.3">
      <c r="A568">
        <v>477</v>
      </c>
      <c r="B568" t="s">
        <v>576</v>
      </c>
      <c r="C568">
        <v>41</v>
      </c>
      <c r="D568" t="s">
        <v>8</v>
      </c>
      <c r="E568">
        <v>173</v>
      </c>
      <c r="F568" t="s">
        <v>392</v>
      </c>
      <c r="G568">
        <v>4.93</v>
      </c>
    </row>
    <row r="569" spans="1:7" x14ac:dyDescent="0.3">
      <c r="A569">
        <v>298</v>
      </c>
      <c r="B569" t="s">
        <v>417</v>
      </c>
      <c r="C569">
        <v>25</v>
      </c>
      <c r="D569" t="s">
        <v>8</v>
      </c>
      <c r="E569">
        <v>110</v>
      </c>
      <c r="F569" t="s">
        <v>105</v>
      </c>
      <c r="G569">
        <v>1.44</v>
      </c>
    </row>
    <row r="570" spans="1:7" x14ac:dyDescent="0.3">
      <c r="A570">
        <v>195</v>
      </c>
      <c r="B570" t="s">
        <v>308</v>
      </c>
      <c r="C570">
        <v>39</v>
      </c>
      <c r="D570" t="s">
        <v>8</v>
      </c>
      <c r="E570">
        <v>113</v>
      </c>
      <c r="F570" t="s">
        <v>309</v>
      </c>
      <c r="G570">
        <v>4.07</v>
      </c>
    </row>
    <row r="571" spans="1:7" x14ac:dyDescent="0.3">
      <c r="A571">
        <v>115</v>
      </c>
      <c r="B571" t="s">
        <v>203</v>
      </c>
      <c r="C571">
        <v>28</v>
      </c>
      <c r="D571" t="s">
        <v>8</v>
      </c>
      <c r="E571">
        <v>13</v>
      </c>
      <c r="F571" t="s">
        <v>204</v>
      </c>
      <c r="G571">
        <v>1.41</v>
      </c>
    </row>
    <row r="572" spans="1:7" x14ac:dyDescent="0.3">
      <c r="A572">
        <v>606</v>
      </c>
      <c r="B572" t="s">
        <v>203</v>
      </c>
      <c r="C572">
        <v>28</v>
      </c>
      <c r="D572" t="s">
        <v>8</v>
      </c>
      <c r="E572">
        <v>123</v>
      </c>
      <c r="F572" t="s">
        <v>271</v>
      </c>
      <c r="G572">
        <v>2.2799999999999998</v>
      </c>
    </row>
    <row r="573" spans="1:7" x14ac:dyDescent="0.3">
      <c r="A573">
        <v>342</v>
      </c>
      <c r="B573" t="s">
        <v>459</v>
      </c>
      <c r="C573">
        <v>21</v>
      </c>
      <c r="D573" t="s">
        <v>8</v>
      </c>
      <c r="E573">
        <v>38</v>
      </c>
      <c r="F573" t="s">
        <v>425</v>
      </c>
      <c r="G573">
        <v>2.37</v>
      </c>
    </row>
    <row r="574" spans="1:7" x14ac:dyDescent="0.3">
      <c r="A574">
        <v>57</v>
      </c>
      <c r="B574" t="s">
        <v>118</v>
      </c>
      <c r="C574">
        <v>21</v>
      </c>
      <c r="D574" t="s">
        <v>8</v>
      </c>
      <c r="E574">
        <v>80</v>
      </c>
      <c r="F574" t="s">
        <v>119</v>
      </c>
      <c r="G574">
        <v>3.39</v>
      </c>
    </row>
    <row r="575" spans="1:7" x14ac:dyDescent="0.3">
      <c r="A575">
        <v>230</v>
      </c>
      <c r="B575" t="s">
        <v>344</v>
      </c>
      <c r="C575">
        <v>24</v>
      </c>
      <c r="D575" t="s">
        <v>8</v>
      </c>
      <c r="E575">
        <v>102</v>
      </c>
      <c r="F575" t="s">
        <v>99</v>
      </c>
      <c r="G575">
        <v>3.44</v>
      </c>
    </row>
    <row r="576" spans="1:7" x14ac:dyDescent="0.3">
      <c r="A576">
        <v>645</v>
      </c>
      <c r="B576" t="s">
        <v>683</v>
      </c>
      <c r="C576">
        <v>17</v>
      </c>
      <c r="D576" t="s">
        <v>8</v>
      </c>
      <c r="E576">
        <v>114</v>
      </c>
      <c r="F576" t="s">
        <v>315</v>
      </c>
      <c r="G576">
        <v>3.82</v>
      </c>
    </row>
    <row r="577" spans="1:7" x14ac:dyDescent="0.3">
      <c r="A577">
        <v>64</v>
      </c>
      <c r="B577" t="s">
        <v>129</v>
      </c>
      <c r="C577">
        <v>20</v>
      </c>
      <c r="D577" t="s">
        <v>8</v>
      </c>
      <c r="E577">
        <v>56</v>
      </c>
      <c r="F577" t="s">
        <v>130</v>
      </c>
      <c r="G577">
        <v>2.92</v>
      </c>
    </row>
    <row r="578" spans="1:7" x14ac:dyDescent="0.3">
      <c r="A578">
        <v>133</v>
      </c>
      <c r="B578" t="s">
        <v>129</v>
      </c>
      <c r="C578">
        <v>20</v>
      </c>
      <c r="D578" t="s">
        <v>8</v>
      </c>
      <c r="E578">
        <v>0</v>
      </c>
      <c r="F578" t="s">
        <v>228</v>
      </c>
      <c r="G578">
        <v>1.28</v>
      </c>
    </row>
    <row r="579" spans="1:7" x14ac:dyDescent="0.3">
      <c r="A579">
        <v>456</v>
      </c>
      <c r="B579" t="s">
        <v>129</v>
      </c>
      <c r="C579">
        <v>20</v>
      </c>
      <c r="D579" t="s">
        <v>8</v>
      </c>
      <c r="E579">
        <v>124</v>
      </c>
      <c r="F579" t="s">
        <v>146</v>
      </c>
      <c r="G579">
        <v>1.29</v>
      </c>
    </row>
    <row r="580" spans="1:7" x14ac:dyDescent="0.3">
      <c r="A580">
        <v>581</v>
      </c>
      <c r="B580" t="s">
        <v>644</v>
      </c>
      <c r="C580">
        <v>23</v>
      </c>
      <c r="D580" t="s">
        <v>8</v>
      </c>
      <c r="E580">
        <v>117</v>
      </c>
      <c r="F580" t="s">
        <v>207</v>
      </c>
      <c r="G580">
        <v>1.79</v>
      </c>
    </row>
    <row r="581" spans="1:7" x14ac:dyDescent="0.3">
      <c r="A581">
        <v>684</v>
      </c>
      <c r="B581" t="s">
        <v>644</v>
      </c>
      <c r="C581">
        <v>23</v>
      </c>
      <c r="D581" t="s">
        <v>8</v>
      </c>
      <c r="E581">
        <v>169</v>
      </c>
      <c r="F581" t="s">
        <v>21</v>
      </c>
      <c r="G581">
        <v>2.1800000000000002</v>
      </c>
    </row>
    <row r="582" spans="1:7" x14ac:dyDescent="0.3">
      <c r="A582">
        <v>70</v>
      </c>
      <c r="B582" t="s">
        <v>138</v>
      </c>
      <c r="C582">
        <v>29</v>
      </c>
      <c r="D582" t="s">
        <v>8</v>
      </c>
      <c r="E582">
        <v>143</v>
      </c>
      <c r="F582" t="s">
        <v>11</v>
      </c>
      <c r="G582">
        <v>1.56</v>
      </c>
    </row>
    <row r="583" spans="1:7" x14ac:dyDescent="0.3">
      <c r="A583">
        <v>100</v>
      </c>
      <c r="B583" t="s">
        <v>180</v>
      </c>
      <c r="C583">
        <v>30</v>
      </c>
      <c r="D583" t="s">
        <v>8</v>
      </c>
      <c r="E583">
        <v>12</v>
      </c>
      <c r="F583" t="s">
        <v>158</v>
      </c>
      <c r="G583">
        <v>1.02</v>
      </c>
    </row>
    <row r="584" spans="1:7" x14ac:dyDescent="0.3">
      <c r="A584">
        <v>118</v>
      </c>
      <c r="B584" t="s">
        <v>180</v>
      </c>
      <c r="C584">
        <v>30</v>
      </c>
      <c r="D584" t="s">
        <v>8</v>
      </c>
      <c r="E584">
        <v>78</v>
      </c>
      <c r="F584" t="s">
        <v>208</v>
      </c>
      <c r="G584">
        <v>4.4000000000000004</v>
      </c>
    </row>
    <row r="585" spans="1:7" x14ac:dyDescent="0.3">
      <c r="A585">
        <v>417</v>
      </c>
      <c r="B585" t="s">
        <v>180</v>
      </c>
      <c r="C585">
        <v>30</v>
      </c>
      <c r="D585" t="s">
        <v>8</v>
      </c>
      <c r="E585">
        <v>98</v>
      </c>
      <c r="F585" t="s">
        <v>40</v>
      </c>
      <c r="G585">
        <v>2.89</v>
      </c>
    </row>
    <row r="586" spans="1:7" x14ac:dyDescent="0.3">
      <c r="A586">
        <v>356</v>
      </c>
      <c r="B586" t="s">
        <v>471</v>
      </c>
      <c r="C586">
        <v>20</v>
      </c>
      <c r="D586" t="s">
        <v>8</v>
      </c>
      <c r="E586">
        <v>138</v>
      </c>
      <c r="F586" t="s">
        <v>103</v>
      </c>
      <c r="G586">
        <v>4.74</v>
      </c>
    </row>
    <row r="587" spans="1:7" x14ac:dyDescent="0.3">
      <c r="A587">
        <v>652</v>
      </c>
      <c r="B587" t="s">
        <v>471</v>
      </c>
      <c r="C587">
        <v>20</v>
      </c>
      <c r="D587" t="s">
        <v>8</v>
      </c>
      <c r="E587">
        <v>75</v>
      </c>
      <c r="F587" t="s">
        <v>218</v>
      </c>
      <c r="G587">
        <v>2.42</v>
      </c>
    </row>
    <row r="588" spans="1:7" x14ac:dyDescent="0.3">
      <c r="A588">
        <v>500</v>
      </c>
      <c r="B588" t="s">
        <v>593</v>
      </c>
      <c r="C588">
        <v>20</v>
      </c>
      <c r="D588" t="s">
        <v>8</v>
      </c>
      <c r="E588">
        <v>100</v>
      </c>
      <c r="F588" t="s">
        <v>15</v>
      </c>
      <c r="G588">
        <v>3.27</v>
      </c>
    </row>
    <row r="589" spans="1:7" x14ac:dyDescent="0.3">
      <c r="A589">
        <v>200</v>
      </c>
      <c r="B589" t="s">
        <v>314</v>
      </c>
      <c r="C589">
        <v>23</v>
      </c>
      <c r="D589" t="s">
        <v>8</v>
      </c>
      <c r="E589">
        <v>114</v>
      </c>
      <c r="F589" t="s">
        <v>315</v>
      </c>
      <c r="G589">
        <v>3.82</v>
      </c>
    </row>
    <row r="590" spans="1:7" x14ac:dyDescent="0.3">
      <c r="A590">
        <v>358</v>
      </c>
      <c r="B590" t="s">
        <v>473</v>
      </c>
      <c r="C590">
        <v>24</v>
      </c>
      <c r="D590" t="s">
        <v>8</v>
      </c>
      <c r="E590">
        <v>74</v>
      </c>
      <c r="F590" t="s">
        <v>223</v>
      </c>
      <c r="G590">
        <v>4.18</v>
      </c>
    </row>
    <row r="591" spans="1:7" x14ac:dyDescent="0.3">
      <c r="A591">
        <v>741</v>
      </c>
      <c r="B591" t="s">
        <v>744</v>
      </c>
      <c r="C591">
        <v>19</v>
      </c>
      <c r="D591" t="s">
        <v>8</v>
      </c>
      <c r="E591">
        <v>145</v>
      </c>
      <c r="F591" t="s">
        <v>227</v>
      </c>
      <c r="G591">
        <v>4.58</v>
      </c>
    </row>
    <row r="592" spans="1:7" x14ac:dyDescent="0.3">
      <c r="A592">
        <v>21</v>
      </c>
      <c r="B592" t="s">
        <v>51</v>
      </c>
      <c r="C592">
        <v>20</v>
      </c>
      <c r="D592" t="s">
        <v>8</v>
      </c>
      <c r="E592">
        <v>168</v>
      </c>
      <c r="F592" t="s">
        <v>52</v>
      </c>
      <c r="G592">
        <v>1.48</v>
      </c>
    </row>
    <row r="593" spans="1:7" x14ac:dyDescent="0.3">
      <c r="A593">
        <v>75</v>
      </c>
      <c r="B593" t="s">
        <v>145</v>
      </c>
      <c r="C593">
        <v>33</v>
      </c>
      <c r="D593" t="s">
        <v>8</v>
      </c>
      <c r="E593">
        <v>124</v>
      </c>
      <c r="F593" t="s">
        <v>146</v>
      </c>
      <c r="G593">
        <v>1.29</v>
      </c>
    </row>
    <row r="594" spans="1:7" x14ac:dyDescent="0.3">
      <c r="A594">
        <v>701</v>
      </c>
      <c r="B594" t="s">
        <v>718</v>
      </c>
      <c r="C594">
        <v>25</v>
      </c>
      <c r="D594" t="s">
        <v>8</v>
      </c>
      <c r="E594">
        <v>10</v>
      </c>
      <c r="F594" t="s">
        <v>187</v>
      </c>
      <c r="G594">
        <v>1.79</v>
      </c>
    </row>
    <row r="595" spans="1:7" x14ac:dyDescent="0.3">
      <c r="A595">
        <v>202</v>
      </c>
      <c r="B595" t="s">
        <v>317</v>
      </c>
      <c r="C595">
        <v>37</v>
      </c>
      <c r="D595" t="s">
        <v>8</v>
      </c>
      <c r="E595">
        <v>82</v>
      </c>
      <c r="F595" t="s">
        <v>46</v>
      </c>
      <c r="G595">
        <v>4.9000000000000004</v>
      </c>
    </row>
    <row r="596" spans="1:7" x14ac:dyDescent="0.3">
      <c r="A596">
        <v>521</v>
      </c>
      <c r="B596" t="s">
        <v>317</v>
      </c>
      <c r="C596">
        <v>37</v>
      </c>
      <c r="D596" t="s">
        <v>8</v>
      </c>
      <c r="E596">
        <v>50</v>
      </c>
      <c r="F596" t="s">
        <v>151</v>
      </c>
      <c r="G596">
        <v>4.5999999999999996</v>
      </c>
    </row>
    <row r="597" spans="1:7" x14ac:dyDescent="0.3">
      <c r="A597">
        <v>382</v>
      </c>
      <c r="B597" t="s">
        <v>495</v>
      </c>
      <c r="C597">
        <v>24</v>
      </c>
      <c r="D597" t="s">
        <v>8</v>
      </c>
      <c r="E597">
        <v>164</v>
      </c>
      <c r="F597" t="s">
        <v>175</v>
      </c>
      <c r="G597">
        <v>1.63</v>
      </c>
    </row>
    <row r="598" spans="1:7" x14ac:dyDescent="0.3">
      <c r="A598">
        <v>571</v>
      </c>
      <c r="B598" t="s">
        <v>639</v>
      </c>
      <c r="C598">
        <v>16</v>
      </c>
      <c r="D598" t="s">
        <v>8</v>
      </c>
      <c r="E598">
        <v>165</v>
      </c>
      <c r="F598" t="s">
        <v>37</v>
      </c>
      <c r="G598">
        <v>4.8600000000000003</v>
      </c>
    </row>
    <row r="599" spans="1:7" x14ac:dyDescent="0.3">
      <c r="A599">
        <v>86</v>
      </c>
      <c r="B599" t="s">
        <v>162</v>
      </c>
      <c r="C599">
        <v>33</v>
      </c>
      <c r="D599" t="s">
        <v>8</v>
      </c>
      <c r="E599">
        <v>129</v>
      </c>
      <c r="F599" t="s">
        <v>163</v>
      </c>
      <c r="G599">
        <v>1.54</v>
      </c>
    </row>
    <row r="600" spans="1:7" x14ac:dyDescent="0.3">
      <c r="A600">
        <v>344</v>
      </c>
      <c r="B600" t="s">
        <v>461</v>
      </c>
      <c r="C600">
        <v>23</v>
      </c>
      <c r="D600" t="s">
        <v>8</v>
      </c>
      <c r="E600">
        <v>19</v>
      </c>
      <c r="F600" t="s">
        <v>358</v>
      </c>
      <c r="G600">
        <v>1.02</v>
      </c>
    </row>
    <row r="601" spans="1:7" x14ac:dyDescent="0.3">
      <c r="A601">
        <v>208</v>
      </c>
      <c r="B601" t="s">
        <v>323</v>
      </c>
      <c r="C601">
        <v>37</v>
      </c>
      <c r="D601" t="s">
        <v>8</v>
      </c>
      <c r="E601">
        <v>105</v>
      </c>
      <c r="F601" t="s">
        <v>123</v>
      </c>
      <c r="G601">
        <v>3.03</v>
      </c>
    </row>
    <row r="602" spans="1:7" x14ac:dyDescent="0.3">
      <c r="A602">
        <v>149</v>
      </c>
      <c r="B602" t="s">
        <v>247</v>
      </c>
      <c r="C602">
        <v>17</v>
      </c>
      <c r="D602" t="s">
        <v>8</v>
      </c>
      <c r="E602">
        <v>161</v>
      </c>
      <c r="F602" t="s">
        <v>44</v>
      </c>
      <c r="G602">
        <v>1.76</v>
      </c>
    </row>
    <row r="603" spans="1:7" x14ac:dyDescent="0.3">
      <c r="A603">
        <v>438</v>
      </c>
      <c r="B603" t="s">
        <v>541</v>
      </c>
      <c r="C603">
        <v>23</v>
      </c>
      <c r="D603" t="s">
        <v>8</v>
      </c>
      <c r="E603">
        <v>145</v>
      </c>
      <c r="F603" t="s">
        <v>227</v>
      </c>
      <c r="G603">
        <v>4.58</v>
      </c>
    </row>
    <row r="604" spans="1:7" x14ac:dyDescent="0.3">
      <c r="A604">
        <v>692</v>
      </c>
      <c r="B604" t="s">
        <v>711</v>
      </c>
      <c r="C604">
        <v>9</v>
      </c>
      <c r="D604" t="s">
        <v>8</v>
      </c>
      <c r="E604">
        <v>78</v>
      </c>
      <c r="F604" t="s">
        <v>208</v>
      </c>
      <c r="G604">
        <v>4.4000000000000004</v>
      </c>
    </row>
    <row r="605" spans="1:7" x14ac:dyDescent="0.3">
      <c r="A605">
        <v>619</v>
      </c>
      <c r="B605" t="s">
        <v>667</v>
      </c>
      <c r="C605">
        <v>15</v>
      </c>
      <c r="D605" t="s">
        <v>8</v>
      </c>
      <c r="E605">
        <v>55</v>
      </c>
      <c r="F605" t="s">
        <v>656</v>
      </c>
      <c r="G605">
        <v>2.27</v>
      </c>
    </row>
    <row r="606" spans="1:7" x14ac:dyDescent="0.3">
      <c r="A606">
        <v>243</v>
      </c>
      <c r="B606" t="s">
        <v>362</v>
      </c>
      <c r="C606">
        <v>24</v>
      </c>
      <c r="D606" t="s">
        <v>8</v>
      </c>
      <c r="E606">
        <v>83</v>
      </c>
      <c r="F606" t="s">
        <v>363</v>
      </c>
      <c r="G606">
        <v>3.33</v>
      </c>
    </row>
    <row r="607" spans="1:7" x14ac:dyDescent="0.3">
      <c r="A607">
        <v>439</v>
      </c>
      <c r="B607" t="s">
        <v>542</v>
      </c>
      <c r="C607">
        <v>22</v>
      </c>
      <c r="D607" t="s">
        <v>8</v>
      </c>
      <c r="E607">
        <v>59</v>
      </c>
      <c r="F607" t="s">
        <v>169</v>
      </c>
      <c r="G607">
        <v>4.2300000000000004</v>
      </c>
    </row>
    <row r="608" spans="1:7" x14ac:dyDescent="0.3">
      <c r="A608">
        <v>389</v>
      </c>
      <c r="B608" t="s">
        <v>502</v>
      </c>
      <c r="C608">
        <v>15</v>
      </c>
      <c r="D608" t="s">
        <v>8</v>
      </c>
      <c r="E608">
        <v>157</v>
      </c>
      <c r="F608" t="s">
        <v>269</v>
      </c>
      <c r="G608">
        <v>4.8</v>
      </c>
    </row>
    <row r="609" spans="1:7" x14ac:dyDescent="0.3">
      <c r="A609">
        <v>597</v>
      </c>
      <c r="B609" t="s">
        <v>502</v>
      </c>
      <c r="C609">
        <v>15</v>
      </c>
      <c r="D609" t="s">
        <v>8</v>
      </c>
      <c r="E609">
        <v>86</v>
      </c>
      <c r="F609" t="s">
        <v>521</v>
      </c>
      <c r="G609">
        <v>2.27</v>
      </c>
    </row>
    <row r="610" spans="1:7" x14ac:dyDescent="0.3">
      <c r="A610">
        <v>56</v>
      </c>
      <c r="B610" t="s">
        <v>117</v>
      </c>
      <c r="C610">
        <v>12</v>
      </c>
      <c r="D610" t="s">
        <v>8</v>
      </c>
      <c r="E610">
        <v>108</v>
      </c>
      <c r="F610" t="s">
        <v>9</v>
      </c>
      <c r="G610">
        <v>3.53</v>
      </c>
    </row>
    <row r="611" spans="1:7" x14ac:dyDescent="0.3">
      <c r="A611">
        <v>408</v>
      </c>
      <c r="B611" t="s">
        <v>117</v>
      </c>
      <c r="C611">
        <v>12</v>
      </c>
      <c r="D611" t="s">
        <v>8</v>
      </c>
      <c r="E611">
        <v>53</v>
      </c>
      <c r="F611" t="s">
        <v>80</v>
      </c>
      <c r="G611">
        <v>2.0499999999999998</v>
      </c>
    </row>
    <row r="612" spans="1:7" x14ac:dyDescent="0.3">
      <c r="A612">
        <v>755</v>
      </c>
      <c r="B612" t="s">
        <v>117</v>
      </c>
      <c r="C612">
        <v>12</v>
      </c>
      <c r="D612" t="s">
        <v>8</v>
      </c>
      <c r="E612">
        <v>76</v>
      </c>
      <c r="F612" t="s">
        <v>82</v>
      </c>
      <c r="G612">
        <v>3.15</v>
      </c>
    </row>
    <row r="613" spans="1:7" x14ac:dyDescent="0.3">
      <c r="A613">
        <v>487</v>
      </c>
      <c r="B613" t="s">
        <v>582</v>
      </c>
      <c r="C613">
        <v>14</v>
      </c>
      <c r="D613" t="s">
        <v>8</v>
      </c>
      <c r="E613">
        <v>93</v>
      </c>
      <c r="F613" t="s">
        <v>523</v>
      </c>
      <c r="G613">
        <v>1.97</v>
      </c>
    </row>
    <row r="614" spans="1:7" x14ac:dyDescent="0.3">
      <c r="A614">
        <v>235</v>
      </c>
      <c r="B614" t="s">
        <v>349</v>
      </c>
      <c r="C614">
        <v>24</v>
      </c>
      <c r="D614" t="s">
        <v>8</v>
      </c>
      <c r="E614">
        <v>163</v>
      </c>
      <c r="F614" t="s">
        <v>350</v>
      </c>
      <c r="G614">
        <v>3.45</v>
      </c>
    </row>
    <row r="615" spans="1:7" x14ac:dyDescent="0.3">
      <c r="A615">
        <v>425</v>
      </c>
      <c r="B615" t="s">
        <v>531</v>
      </c>
      <c r="C615">
        <v>15</v>
      </c>
      <c r="D615" t="s">
        <v>8</v>
      </c>
      <c r="E615">
        <v>20</v>
      </c>
      <c r="F615" t="s">
        <v>150</v>
      </c>
      <c r="G615">
        <v>3.27</v>
      </c>
    </row>
    <row r="616" spans="1:7" x14ac:dyDescent="0.3">
      <c r="A616">
        <v>138</v>
      </c>
      <c r="B616" t="s">
        <v>234</v>
      </c>
      <c r="C616">
        <v>33</v>
      </c>
      <c r="D616" t="s">
        <v>8</v>
      </c>
      <c r="E616">
        <v>136</v>
      </c>
      <c r="F616" t="s">
        <v>28</v>
      </c>
      <c r="G616">
        <v>3.58</v>
      </c>
    </row>
    <row r="617" spans="1:7" x14ac:dyDescent="0.3">
      <c r="A617">
        <v>319</v>
      </c>
      <c r="B617" t="s">
        <v>234</v>
      </c>
      <c r="C617">
        <v>33</v>
      </c>
      <c r="D617" t="s">
        <v>8</v>
      </c>
      <c r="E617">
        <v>144</v>
      </c>
      <c r="F617" t="s">
        <v>278</v>
      </c>
      <c r="G617">
        <v>1.94</v>
      </c>
    </row>
    <row r="618" spans="1:7" x14ac:dyDescent="0.3">
      <c r="A618">
        <v>678</v>
      </c>
      <c r="B618" t="s">
        <v>234</v>
      </c>
      <c r="C618">
        <v>33</v>
      </c>
      <c r="D618" t="s">
        <v>8</v>
      </c>
      <c r="E618">
        <v>108</v>
      </c>
      <c r="F618" t="s">
        <v>9</v>
      </c>
      <c r="G618">
        <v>3.53</v>
      </c>
    </row>
    <row r="619" spans="1:7" x14ac:dyDescent="0.3">
      <c r="A619">
        <v>748</v>
      </c>
      <c r="B619" t="s">
        <v>749</v>
      </c>
      <c r="C619">
        <v>20</v>
      </c>
      <c r="D619" t="s">
        <v>8</v>
      </c>
      <c r="E619">
        <v>55</v>
      </c>
      <c r="F619" t="s">
        <v>656</v>
      </c>
      <c r="G619">
        <v>2.27</v>
      </c>
    </row>
    <row r="620" spans="1:7" x14ac:dyDescent="0.3">
      <c r="A620">
        <v>377</v>
      </c>
      <c r="B620" t="s">
        <v>490</v>
      </c>
      <c r="C620">
        <v>20</v>
      </c>
      <c r="D620" t="s">
        <v>8</v>
      </c>
      <c r="E620">
        <v>11</v>
      </c>
      <c r="F620" t="s">
        <v>298</v>
      </c>
      <c r="G620">
        <v>3.65</v>
      </c>
    </row>
    <row r="621" spans="1:7" x14ac:dyDescent="0.3">
      <c r="A621">
        <v>464</v>
      </c>
      <c r="B621" t="s">
        <v>564</v>
      </c>
      <c r="C621">
        <v>22</v>
      </c>
      <c r="D621" t="s">
        <v>8</v>
      </c>
      <c r="E621">
        <v>178</v>
      </c>
      <c r="F621" t="s">
        <v>60</v>
      </c>
      <c r="G621">
        <v>4.2300000000000004</v>
      </c>
    </row>
    <row r="622" spans="1:7" x14ac:dyDescent="0.3">
      <c r="A622">
        <v>287</v>
      </c>
      <c r="B622" t="s">
        <v>405</v>
      </c>
      <c r="C622">
        <v>20</v>
      </c>
      <c r="D622" t="s">
        <v>8</v>
      </c>
      <c r="E622">
        <v>5</v>
      </c>
      <c r="F622" t="s">
        <v>276</v>
      </c>
      <c r="G622">
        <v>4.08</v>
      </c>
    </row>
    <row r="623" spans="1:7" x14ac:dyDescent="0.3">
      <c r="A623">
        <v>110</v>
      </c>
      <c r="B623" t="s">
        <v>195</v>
      </c>
      <c r="C623">
        <v>25</v>
      </c>
      <c r="D623" t="s">
        <v>8</v>
      </c>
      <c r="E623">
        <v>139</v>
      </c>
      <c r="F623" t="s">
        <v>196</v>
      </c>
      <c r="G623">
        <v>4.9400000000000004</v>
      </c>
    </row>
    <row r="624" spans="1:7" x14ac:dyDescent="0.3">
      <c r="A624">
        <v>380</v>
      </c>
      <c r="B624" t="s">
        <v>493</v>
      </c>
      <c r="C624">
        <v>25</v>
      </c>
      <c r="D624" t="s">
        <v>8</v>
      </c>
      <c r="E624">
        <v>50</v>
      </c>
      <c r="F624" t="s">
        <v>151</v>
      </c>
      <c r="G624">
        <v>4.5999999999999996</v>
      </c>
    </row>
    <row r="625" spans="1:7" x14ac:dyDescent="0.3">
      <c r="A625">
        <v>193</v>
      </c>
      <c r="B625" t="s">
        <v>306</v>
      </c>
      <c r="C625">
        <v>27</v>
      </c>
      <c r="D625" t="s">
        <v>8</v>
      </c>
      <c r="E625">
        <v>62</v>
      </c>
      <c r="F625" t="s">
        <v>217</v>
      </c>
      <c r="G625">
        <v>1.87</v>
      </c>
    </row>
    <row r="626" spans="1:7" x14ac:dyDescent="0.3">
      <c r="A626">
        <v>353</v>
      </c>
      <c r="B626" t="s">
        <v>468</v>
      </c>
      <c r="C626">
        <v>25</v>
      </c>
      <c r="D626" t="s">
        <v>8</v>
      </c>
      <c r="E626">
        <v>174</v>
      </c>
      <c r="F626" t="s">
        <v>155</v>
      </c>
      <c r="G626">
        <v>3.47</v>
      </c>
    </row>
    <row r="627" spans="1:7" x14ac:dyDescent="0.3">
      <c r="A627">
        <v>322</v>
      </c>
      <c r="B627" t="s">
        <v>439</v>
      </c>
      <c r="C627">
        <v>18</v>
      </c>
      <c r="D627" t="s">
        <v>8</v>
      </c>
      <c r="E627">
        <v>37</v>
      </c>
      <c r="F627" t="s">
        <v>68</v>
      </c>
      <c r="G627">
        <v>3.16</v>
      </c>
    </row>
    <row r="628" spans="1:7" x14ac:dyDescent="0.3">
      <c r="A628">
        <v>346</v>
      </c>
      <c r="B628" t="s">
        <v>439</v>
      </c>
      <c r="C628">
        <v>18</v>
      </c>
      <c r="D628" t="s">
        <v>8</v>
      </c>
      <c r="E628">
        <v>121</v>
      </c>
      <c r="F628" t="s">
        <v>463</v>
      </c>
      <c r="G628">
        <v>1.6</v>
      </c>
    </row>
    <row r="629" spans="1:7" x14ac:dyDescent="0.3">
      <c r="A629">
        <v>764</v>
      </c>
      <c r="B629" t="s">
        <v>439</v>
      </c>
      <c r="C629">
        <v>18</v>
      </c>
      <c r="D629" t="s">
        <v>8</v>
      </c>
      <c r="E629">
        <v>113</v>
      </c>
      <c r="F629" t="s">
        <v>309</v>
      </c>
      <c r="G629">
        <v>4.07</v>
      </c>
    </row>
    <row r="630" spans="1:7" x14ac:dyDescent="0.3">
      <c r="A630">
        <v>12</v>
      </c>
      <c r="B630" t="s">
        <v>32</v>
      </c>
      <c r="C630">
        <v>21</v>
      </c>
      <c r="D630" t="s">
        <v>8</v>
      </c>
      <c r="E630">
        <v>116</v>
      </c>
      <c r="F630" t="s">
        <v>33</v>
      </c>
      <c r="G630">
        <v>4.18</v>
      </c>
    </row>
    <row r="631" spans="1:7" x14ac:dyDescent="0.3">
      <c r="A631">
        <v>50</v>
      </c>
      <c r="B631" t="s">
        <v>32</v>
      </c>
      <c r="C631">
        <v>21</v>
      </c>
      <c r="D631" t="s">
        <v>8</v>
      </c>
      <c r="E631">
        <v>22</v>
      </c>
      <c r="F631" t="s">
        <v>106</v>
      </c>
      <c r="G631">
        <v>2.1800000000000002</v>
      </c>
    </row>
    <row r="632" spans="1:7" x14ac:dyDescent="0.3">
      <c r="A632">
        <v>180</v>
      </c>
      <c r="B632" t="s">
        <v>286</v>
      </c>
      <c r="C632">
        <v>24</v>
      </c>
      <c r="D632" t="s">
        <v>8</v>
      </c>
      <c r="E632">
        <v>95</v>
      </c>
      <c r="F632" t="s">
        <v>30</v>
      </c>
      <c r="G632">
        <v>4.74</v>
      </c>
    </row>
    <row r="633" spans="1:7" x14ac:dyDescent="0.3">
      <c r="A633">
        <v>716</v>
      </c>
      <c r="B633" t="s">
        <v>726</v>
      </c>
      <c r="C633">
        <v>23</v>
      </c>
      <c r="D633" t="s">
        <v>8</v>
      </c>
      <c r="E633">
        <v>106</v>
      </c>
      <c r="F633" t="s">
        <v>420</v>
      </c>
      <c r="G633">
        <v>3.41</v>
      </c>
    </row>
    <row r="634" spans="1:7" x14ac:dyDescent="0.3">
      <c r="A634">
        <v>250</v>
      </c>
      <c r="B634" t="s">
        <v>368</v>
      </c>
      <c r="C634">
        <v>23</v>
      </c>
      <c r="D634" t="s">
        <v>8</v>
      </c>
      <c r="E634">
        <v>87</v>
      </c>
      <c r="F634" t="s">
        <v>210</v>
      </c>
      <c r="G634">
        <v>4.43</v>
      </c>
    </row>
    <row r="635" spans="1:7" x14ac:dyDescent="0.3">
      <c r="A635">
        <v>14</v>
      </c>
      <c r="B635" t="s">
        <v>36</v>
      </c>
      <c r="C635">
        <v>35</v>
      </c>
      <c r="D635" t="s">
        <v>8</v>
      </c>
      <c r="E635">
        <v>165</v>
      </c>
      <c r="F635" t="s">
        <v>37</v>
      </c>
      <c r="G635">
        <v>4.8600000000000003</v>
      </c>
    </row>
    <row r="636" spans="1:7" x14ac:dyDescent="0.3">
      <c r="A636">
        <v>264</v>
      </c>
      <c r="B636" t="s">
        <v>36</v>
      </c>
      <c r="C636">
        <v>35</v>
      </c>
      <c r="D636" t="s">
        <v>8</v>
      </c>
      <c r="E636">
        <v>119</v>
      </c>
      <c r="F636" t="s">
        <v>66</v>
      </c>
      <c r="G636">
        <v>4.32</v>
      </c>
    </row>
    <row r="637" spans="1:7" x14ac:dyDescent="0.3">
      <c r="A637">
        <v>260</v>
      </c>
      <c r="B637" t="s">
        <v>378</v>
      </c>
      <c r="C637">
        <v>16</v>
      </c>
      <c r="D637" t="s">
        <v>8</v>
      </c>
      <c r="E637">
        <v>70</v>
      </c>
      <c r="F637" t="s">
        <v>379</v>
      </c>
      <c r="G637">
        <v>1.03</v>
      </c>
    </row>
    <row r="638" spans="1:7" x14ac:dyDescent="0.3">
      <c r="A638">
        <v>374</v>
      </c>
      <c r="B638" t="s">
        <v>487</v>
      </c>
      <c r="C638">
        <v>16</v>
      </c>
      <c r="D638" t="s">
        <v>8</v>
      </c>
      <c r="E638">
        <v>85</v>
      </c>
      <c r="F638" t="s">
        <v>193</v>
      </c>
      <c r="G638">
        <v>1.75</v>
      </c>
    </row>
    <row r="639" spans="1:7" x14ac:dyDescent="0.3">
      <c r="A639">
        <v>372</v>
      </c>
      <c r="B639" t="s">
        <v>485</v>
      </c>
      <c r="C639">
        <v>35</v>
      </c>
      <c r="D639" t="s">
        <v>8</v>
      </c>
      <c r="E639">
        <v>64</v>
      </c>
      <c r="F639" t="s">
        <v>486</v>
      </c>
      <c r="G639">
        <v>4.82</v>
      </c>
    </row>
    <row r="640" spans="1:7" x14ac:dyDescent="0.3">
      <c r="A640">
        <v>483</v>
      </c>
      <c r="B640" t="s">
        <v>485</v>
      </c>
      <c r="C640">
        <v>35</v>
      </c>
      <c r="D640" t="s">
        <v>8</v>
      </c>
      <c r="E640">
        <v>108</v>
      </c>
      <c r="F640" t="s">
        <v>9</v>
      </c>
      <c r="G640">
        <v>3.53</v>
      </c>
    </row>
    <row r="641" spans="1:7" x14ac:dyDescent="0.3">
      <c r="A641">
        <v>688</v>
      </c>
      <c r="B641" t="s">
        <v>485</v>
      </c>
      <c r="C641">
        <v>35</v>
      </c>
      <c r="D641" t="s">
        <v>8</v>
      </c>
      <c r="E641">
        <v>29</v>
      </c>
      <c r="F641" t="s">
        <v>140</v>
      </c>
      <c r="G641">
        <v>1.98</v>
      </c>
    </row>
    <row r="642" spans="1:7" x14ac:dyDescent="0.3">
      <c r="A642">
        <v>480</v>
      </c>
      <c r="B642" t="s">
        <v>577</v>
      </c>
      <c r="C642">
        <v>40</v>
      </c>
      <c r="D642" t="s">
        <v>8</v>
      </c>
      <c r="E642">
        <v>59</v>
      </c>
      <c r="F642" t="s">
        <v>169</v>
      </c>
      <c r="G642">
        <v>4.2300000000000004</v>
      </c>
    </row>
    <row r="643" spans="1:7" x14ac:dyDescent="0.3">
      <c r="A643">
        <v>512</v>
      </c>
      <c r="B643" t="s">
        <v>600</v>
      </c>
      <c r="C643">
        <v>35</v>
      </c>
      <c r="D643" t="s">
        <v>8</v>
      </c>
      <c r="E643">
        <v>169</v>
      </c>
      <c r="F643" t="s">
        <v>21</v>
      </c>
      <c r="G643">
        <v>2.1800000000000002</v>
      </c>
    </row>
    <row r="644" spans="1:7" x14ac:dyDescent="0.3">
      <c r="A644">
        <v>415</v>
      </c>
      <c r="B644" t="s">
        <v>525</v>
      </c>
      <c r="C644">
        <v>22</v>
      </c>
      <c r="D644" t="s">
        <v>8</v>
      </c>
      <c r="E644">
        <v>120</v>
      </c>
      <c r="F644" t="s">
        <v>225</v>
      </c>
      <c r="G644">
        <v>3.08</v>
      </c>
    </row>
    <row r="645" spans="1:7" x14ac:dyDescent="0.3">
      <c r="A645">
        <v>640</v>
      </c>
      <c r="B645" t="s">
        <v>525</v>
      </c>
      <c r="C645">
        <v>22</v>
      </c>
      <c r="D645" t="s">
        <v>8</v>
      </c>
      <c r="E645">
        <v>108</v>
      </c>
      <c r="F645" t="s">
        <v>9</v>
      </c>
      <c r="G645">
        <v>3.53</v>
      </c>
    </row>
    <row r="646" spans="1:7" x14ac:dyDescent="0.3">
      <c r="A646">
        <v>589</v>
      </c>
      <c r="B646" t="s">
        <v>651</v>
      </c>
      <c r="C646">
        <v>30</v>
      </c>
      <c r="D646" t="s">
        <v>8</v>
      </c>
      <c r="E646">
        <v>106</v>
      </c>
      <c r="F646" t="s">
        <v>420</v>
      </c>
      <c r="G646">
        <v>3.41</v>
      </c>
    </row>
    <row r="647" spans="1:7" x14ac:dyDescent="0.3">
      <c r="A647">
        <v>602</v>
      </c>
      <c r="B647" t="s">
        <v>660</v>
      </c>
      <c r="C647">
        <v>20</v>
      </c>
      <c r="D647" t="s">
        <v>8</v>
      </c>
      <c r="E647">
        <v>65</v>
      </c>
      <c r="F647" t="s">
        <v>262</v>
      </c>
      <c r="G647">
        <v>4.24</v>
      </c>
    </row>
    <row r="648" spans="1:7" x14ac:dyDescent="0.3">
      <c r="A648">
        <v>621</v>
      </c>
      <c r="B648" t="s">
        <v>660</v>
      </c>
      <c r="C648">
        <v>20</v>
      </c>
      <c r="D648" t="s">
        <v>8</v>
      </c>
      <c r="E648">
        <v>26</v>
      </c>
      <c r="F648" t="s">
        <v>527</v>
      </c>
      <c r="G648">
        <v>1.1200000000000001</v>
      </c>
    </row>
    <row r="649" spans="1:7" x14ac:dyDescent="0.3">
      <c r="A649">
        <v>123</v>
      </c>
      <c r="B649" t="s">
        <v>214</v>
      </c>
      <c r="C649">
        <v>27</v>
      </c>
      <c r="D649" t="s">
        <v>8</v>
      </c>
      <c r="E649">
        <v>81</v>
      </c>
      <c r="F649" t="s">
        <v>19</v>
      </c>
      <c r="G649">
        <v>3.61</v>
      </c>
    </row>
    <row r="650" spans="1:7" x14ac:dyDescent="0.3">
      <c r="A650">
        <v>596</v>
      </c>
      <c r="B650" t="s">
        <v>214</v>
      </c>
      <c r="C650">
        <v>27</v>
      </c>
      <c r="D650" t="s">
        <v>8</v>
      </c>
      <c r="E650">
        <v>146</v>
      </c>
      <c r="F650" t="s">
        <v>231</v>
      </c>
      <c r="G650">
        <v>3.1</v>
      </c>
    </row>
    <row r="651" spans="1:7" x14ac:dyDescent="0.3">
      <c r="A651">
        <v>37</v>
      </c>
      <c r="B651" t="s">
        <v>83</v>
      </c>
      <c r="C651">
        <v>8</v>
      </c>
      <c r="D651" t="s">
        <v>8</v>
      </c>
      <c r="E651">
        <v>73</v>
      </c>
      <c r="F651" t="s">
        <v>84</v>
      </c>
      <c r="G651">
        <v>2.0499999999999998</v>
      </c>
    </row>
    <row r="652" spans="1:7" x14ac:dyDescent="0.3">
      <c r="A652">
        <v>212</v>
      </c>
      <c r="B652" t="s">
        <v>326</v>
      </c>
      <c r="C652">
        <v>23</v>
      </c>
      <c r="D652" t="s">
        <v>8</v>
      </c>
      <c r="E652">
        <v>159</v>
      </c>
      <c r="F652" t="s">
        <v>327</v>
      </c>
      <c r="G652">
        <v>3.08</v>
      </c>
    </row>
    <row r="653" spans="1:7" x14ac:dyDescent="0.3">
      <c r="A653">
        <v>540</v>
      </c>
      <c r="B653" t="s">
        <v>620</v>
      </c>
      <c r="C653">
        <v>29</v>
      </c>
      <c r="D653" t="s">
        <v>8</v>
      </c>
      <c r="E653">
        <v>7</v>
      </c>
      <c r="F653" t="s">
        <v>90</v>
      </c>
      <c r="G653">
        <v>1.33</v>
      </c>
    </row>
    <row r="654" spans="1:7" x14ac:dyDescent="0.3">
      <c r="A654">
        <v>24</v>
      </c>
      <c r="B654" t="s">
        <v>57</v>
      </c>
      <c r="C654">
        <v>30</v>
      </c>
      <c r="D654" t="s">
        <v>8</v>
      </c>
      <c r="E654">
        <v>141</v>
      </c>
      <c r="F654" t="s">
        <v>58</v>
      </c>
      <c r="G654">
        <v>3.19</v>
      </c>
    </row>
    <row r="655" spans="1:7" x14ac:dyDescent="0.3">
      <c r="A655">
        <v>266</v>
      </c>
      <c r="B655" t="s">
        <v>57</v>
      </c>
      <c r="C655">
        <v>30</v>
      </c>
      <c r="D655" t="s">
        <v>8</v>
      </c>
      <c r="E655">
        <v>113</v>
      </c>
      <c r="F655" t="s">
        <v>309</v>
      </c>
      <c r="G655">
        <v>4.07</v>
      </c>
    </row>
    <row r="656" spans="1:7" x14ac:dyDescent="0.3">
      <c r="A656">
        <v>302</v>
      </c>
      <c r="B656" t="s">
        <v>421</v>
      </c>
      <c r="C656">
        <v>20</v>
      </c>
      <c r="D656" t="s">
        <v>8</v>
      </c>
      <c r="E656">
        <v>4</v>
      </c>
      <c r="F656" t="s">
        <v>35</v>
      </c>
      <c r="G656">
        <v>1.7</v>
      </c>
    </row>
    <row r="657" spans="1:7" x14ac:dyDescent="0.3">
      <c r="A657">
        <v>305</v>
      </c>
      <c r="B657" t="s">
        <v>421</v>
      </c>
      <c r="C657">
        <v>20</v>
      </c>
      <c r="D657" t="s">
        <v>8</v>
      </c>
      <c r="E657">
        <v>179</v>
      </c>
      <c r="F657" t="s">
        <v>72</v>
      </c>
      <c r="G657">
        <v>4.4800000000000004</v>
      </c>
    </row>
    <row r="658" spans="1:7" x14ac:dyDescent="0.3">
      <c r="A658">
        <v>536</v>
      </c>
      <c r="B658" t="s">
        <v>421</v>
      </c>
      <c r="C658">
        <v>20</v>
      </c>
      <c r="D658" t="s">
        <v>8</v>
      </c>
      <c r="E658">
        <v>101</v>
      </c>
      <c r="F658" t="s">
        <v>13</v>
      </c>
      <c r="G658">
        <v>4.1900000000000004</v>
      </c>
    </row>
    <row r="659" spans="1:7" x14ac:dyDescent="0.3">
      <c r="A659">
        <v>413</v>
      </c>
      <c r="B659" t="s">
        <v>522</v>
      </c>
      <c r="C659">
        <v>12</v>
      </c>
      <c r="D659" t="s">
        <v>8</v>
      </c>
      <c r="E659">
        <v>93</v>
      </c>
      <c r="F659" t="s">
        <v>523</v>
      </c>
      <c r="G659">
        <v>1.97</v>
      </c>
    </row>
    <row r="660" spans="1:7" x14ac:dyDescent="0.3">
      <c r="A660">
        <v>163</v>
      </c>
      <c r="B660" t="s">
        <v>261</v>
      </c>
      <c r="C660">
        <v>11</v>
      </c>
      <c r="D660" t="s">
        <v>8</v>
      </c>
      <c r="E660">
        <v>65</v>
      </c>
      <c r="F660" t="s">
        <v>262</v>
      </c>
      <c r="G660">
        <v>4.24</v>
      </c>
    </row>
    <row r="661" spans="1:7" x14ac:dyDescent="0.3">
      <c r="A661">
        <v>529</v>
      </c>
      <c r="B661" t="s">
        <v>612</v>
      </c>
      <c r="C661">
        <v>21</v>
      </c>
      <c r="D661" t="s">
        <v>8</v>
      </c>
      <c r="E661">
        <v>142</v>
      </c>
      <c r="F661" t="s">
        <v>338</v>
      </c>
      <c r="G661">
        <v>2.62</v>
      </c>
    </row>
    <row r="662" spans="1:7" x14ac:dyDescent="0.3">
      <c r="A662">
        <v>612</v>
      </c>
      <c r="B662" t="s">
        <v>612</v>
      </c>
      <c r="C662">
        <v>21</v>
      </c>
      <c r="D662" t="s">
        <v>8</v>
      </c>
      <c r="E662">
        <v>52</v>
      </c>
      <c r="F662" t="s">
        <v>415</v>
      </c>
      <c r="G662">
        <v>4.84</v>
      </c>
    </row>
    <row r="663" spans="1:7" x14ac:dyDescent="0.3">
      <c r="A663">
        <v>657</v>
      </c>
      <c r="B663" t="s">
        <v>612</v>
      </c>
      <c r="C663">
        <v>21</v>
      </c>
      <c r="D663" t="s">
        <v>8</v>
      </c>
      <c r="E663">
        <v>19</v>
      </c>
      <c r="F663" t="s">
        <v>358</v>
      </c>
      <c r="G663">
        <v>1.02</v>
      </c>
    </row>
    <row r="664" spans="1:7" x14ac:dyDescent="0.3">
      <c r="A664">
        <v>396</v>
      </c>
      <c r="B664" t="s">
        <v>509</v>
      </c>
      <c r="C664">
        <v>20</v>
      </c>
      <c r="D664" t="s">
        <v>8</v>
      </c>
      <c r="E664">
        <v>131</v>
      </c>
      <c r="F664" t="s">
        <v>17</v>
      </c>
      <c r="G664">
        <v>1.44</v>
      </c>
    </row>
    <row r="665" spans="1:7" x14ac:dyDescent="0.3">
      <c r="A665">
        <v>535</v>
      </c>
      <c r="B665" t="s">
        <v>509</v>
      </c>
      <c r="C665">
        <v>20</v>
      </c>
      <c r="D665" t="s">
        <v>8</v>
      </c>
      <c r="E665">
        <v>155</v>
      </c>
      <c r="F665" t="s">
        <v>399</v>
      </c>
      <c r="G665">
        <v>1.01</v>
      </c>
    </row>
    <row r="666" spans="1:7" x14ac:dyDescent="0.3">
      <c r="A666">
        <v>778</v>
      </c>
      <c r="B666" t="s">
        <v>764</v>
      </c>
      <c r="C666">
        <v>7</v>
      </c>
      <c r="D666" t="s">
        <v>8</v>
      </c>
      <c r="E666">
        <v>101</v>
      </c>
      <c r="F666" t="s">
        <v>13</v>
      </c>
      <c r="G666">
        <v>4.1900000000000004</v>
      </c>
    </row>
    <row r="667" spans="1:7" x14ac:dyDescent="0.3">
      <c r="A667">
        <v>275</v>
      </c>
      <c r="B667" t="s">
        <v>391</v>
      </c>
      <c r="C667">
        <v>30</v>
      </c>
      <c r="D667" t="s">
        <v>8</v>
      </c>
      <c r="E667">
        <v>173</v>
      </c>
      <c r="F667" t="s">
        <v>392</v>
      </c>
      <c r="G667">
        <v>4.93</v>
      </c>
    </row>
    <row r="668" spans="1:7" x14ac:dyDescent="0.3">
      <c r="A668">
        <v>650</v>
      </c>
      <c r="B668" t="s">
        <v>391</v>
      </c>
      <c r="C668">
        <v>30</v>
      </c>
      <c r="D668" t="s">
        <v>8</v>
      </c>
      <c r="E668">
        <v>161</v>
      </c>
      <c r="F668" t="s">
        <v>44</v>
      </c>
      <c r="G668">
        <v>1.76</v>
      </c>
    </row>
    <row r="669" spans="1:7" x14ac:dyDescent="0.3">
      <c r="A669">
        <v>546</v>
      </c>
      <c r="B669" t="s">
        <v>624</v>
      </c>
      <c r="C669">
        <v>9</v>
      </c>
      <c r="D669" t="s">
        <v>8</v>
      </c>
      <c r="E669">
        <v>159</v>
      </c>
      <c r="F669" t="s">
        <v>327</v>
      </c>
      <c r="G669">
        <v>3.08</v>
      </c>
    </row>
    <row r="670" spans="1:7" x14ac:dyDescent="0.3">
      <c r="A670">
        <v>575</v>
      </c>
      <c r="B670" t="s">
        <v>624</v>
      </c>
      <c r="C670">
        <v>9</v>
      </c>
      <c r="D670" t="s">
        <v>8</v>
      </c>
      <c r="E670">
        <v>137</v>
      </c>
      <c r="F670" t="s">
        <v>330</v>
      </c>
      <c r="G670">
        <v>3.39</v>
      </c>
    </row>
    <row r="671" spans="1:7" x14ac:dyDescent="0.3">
      <c r="A671">
        <v>108</v>
      </c>
      <c r="B671" t="s">
        <v>192</v>
      </c>
      <c r="C671">
        <v>19</v>
      </c>
      <c r="D671" t="s">
        <v>8</v>
      </c>
      <c r="E671">
        <v>85</v>
      </c>
      <c r="F671" t="s">
        <v>193</v>
      </c>
      <c r="G671">
        <v>1.75</v>
      </c>
    </row>
    <row r="672" spans="1:7" x14ac:dyDescent="0.3">
      <c r="A672">
        <v>537</v>
      </c>
      <c r="B672" t="s">
        <v>617</v>
      </c>
      <c r="C672">
        <v>25</v>
      </c>
      <c r="D672" t="s">
        <v>8</v>
      </c>
      <c r="E672">
        <v>112</v>
      </c>
      <c r="F672" t="s">
        <v>566</v>
      </c>
      <c r="G672">
        <v>2.6</v>
      </c>
    </row>
    <row r="673" spans="1:7" x14ac:dyDescent="0.3">
      <c r="A673">
        <v>207</v>
      </c>
      <c r="B673" t="s">
        <v>322</v>
      </c>
      <c r="C673">
        <v>24</v>
      </c>
      <c r="D673" t="s">
        <v>8</v>
      </c>
      <c r="E673">
        <v>145</v>
      </c>
      <c r="F673" t="s">
        <v>227</v>
      </c>
      <c r="G673">
        <v>4.58</v>
      </c>
    </row>
    <row r="674" spans="1:7" x14ac:dyDescent="0.3">
      <c r="A674">
        <v>255</v>
      </c>
      <c r="B674" t="s">
        <v>322</v>
      </c>
      <c r="C674">
        <v>24</v>
      </c>
      <c r="D674" t="s">
        <v>8</v>
      </c>
      <c r="E674">
        <v>71</v>
      </c>
      <c r="F674" t="s">
        <v>62</v>
      </c>
      <c r="G674">
        <v>1.61</v>
      </c>
    </row>
    <row r="675" spans="1:7" x14ac:dyDescent="0.3">
      <c r="A675">
        <v>465</v>
      </c>
      <c r="B675" t="s">
        <v>322</v>
      </c>
      <c r="C675">
        <v>24</v>
      </c>
      <c r="D675" t="s">
        <v>8</v>
      </c>
      <c r="E675">
        <v>4</v>
      </c>
      <c r="F675" t="s">
        <v>35</v>
      </c>
      <c r="G675">
        <v>1.7</v>
      </c>
    </row>
    <row r="676" spans="1:7" x14ac:dyDescent="0.3">
      <c r="A676">
        <v>39</v>
      </c>
      <c r="B676" t="s">
        <v>86</v>
      </c>
      <c r="C676">
        <v>21</v>
      </c>
      <c r="D676" t="s">
        <v>8</v>
      </c>
      <c r="E676">
        <v>172</v>
      </c>
      <c r="F676" t="s">
        <v>87</v>
      </c>
      <c r="G676">
        <v>3.14</v>
      </c>
    </row>
    <row r="677" spans="1:7" x14ac:dyDescent="0.3">
      <c r="A677">
        <v>34</v>
      </c>
      <c r="B677" t="s">
        <v>77</v>
      </c>
      <c r="C677">
        <v>19</v>
      </c>
      <c r="D677" t="s">
        <v>8</v>
      </c>
      <c r="E677">
        <v>160</v>
      </c>
      <c r="F677" t="s">
        <v>78</v>
      </c>
      <c r="G677">
        <v>4.4000000000000004</v>
      </c>
    </row>
    <row r="678" spans="1:7" x14ac:dyDescent="0.3">
      <c r="A678">
        <v>281</v>
      </c>
      <c r="B678" t="s">
        <v>397</v>
      </c>
      <c r="C678">
        <v>19</v>
      </c>
      <c r="D678" t="s">
        <v>8</v>
      </c>
      <c r="E678">
        <v>68</v>
      </c>
      <c r="F678" t="s">
        <v>143</v>
      </c>
      <c r="G678">
        <v>4.32</v>
      </c>
    </row>
    <row r="679" spans="1:7" x14ac:dyDescent="0.3">
      <c r="A679">
        <v>481</v>
      </c>
      <c r="B679" t="s">
        <v>578</v>
      </c>
      <c r="C679">
        <v>7</v>
      </c>
      <c r="D679" t="s">
        <v>8</v>
      </c>
      <c r="E679">
        <v>179</v>
      </c>
      <c r="F679" t="s">
        <v>72</v>
      </c>
      <c r="G679">
        <v>4.4800000000000004</v>
      </c>
    </row>
    <row r="680" spans="1:7" x14ac:dyDescent="0.3">
      <c r="A680">
        <v>312</v>
      </c>
      <c r="B680" t="s">
        <v>430</v>
      </c>
      <c r="C680">
        <v>20</v>
      </c>
      <c r="D680" t="s">
        <v>8</v>
      </c>
      <c r="E680">
        <v>147</v>
      </c>
      <c r="F680" t="s">
        <v>410</v>
      </c>
      <c r="G680">
        <v>4.93</v>
      </c>
    </row>
    <row r="681" spans="1:7" x14ac:dyDescent="0.3">
      <c r="A681">
        <v>410</v>
      </c>
      <c r="B681" t="s">
        <v>430</v>
      </c>
      <c r="C681">
        <v>20</v>
      </c>
      <c r="D681" t="s">
        <v>8</v>
      </c>
      <c r="E681">
        <v>99</v>
      </c>
      <c r="F681" t="s">
        <v>191</v>
      </c>
      <c r="G681">
        <v>1.71</v>
      </c>
    </row>
    <row r="682" spans="1:7" x14ac:dyDescent="0.3">
      <c r="A682">
        <v>661</v>
      </c>
      <c r="B682" t="s">
        <v>430</v>
      </c>
      <c r="C682">
        <v>20</v>
      </c>
      <c r="D682" t="s">
        <v>8</v>
      </c>
      <c r="E682">
        <v>60</v>
      </c>
      <c r="F682" t="s">
        <v>110</v>
      </c>
      <c r="G682">
        <v>3.54</v>
      </c>
    </row>
    <row r="683" spans="1:7" x14ac:dyDescent="0.3">
      <c r="A683">
        <v>162</v>
      </c>
      <c r="B683" t="s">
        <v>260</v>
      </c>
      <c r="C683">
        <v>17</v>
      </c>
      <c r="D683" t="s">
        <v>8</v>
      </c>
      <c r="E683">
        <v>181</v>
      </c>
      <c r="F683" t="s">
        <v>97</v>
      </c>
      <c r="G683">
        <v>1.66</v>
      </c>
    </row>
    <row r="684" spans="1:7" x14ac:dyDescent="0.3">
      <c r="A684">
        <v>158</v>
      </c>
      <c r="B684" t="s">
        <v>255</v>
      </c>
      <c r="C684">
        <v>31</v>
      </c>
      <c r="D684" t="s">
        <v>8</v>
      </c>
      <c r="E684">
        <v>111</v>
      </c>
      <c r="F684" t="s">
        <v>256</v>
      </c>
      <c r="G684">
        <v>4.8899999999999997</v>
      </c>
    </row>
    <row r="685" spans="1:7" x14ac:dyDescent="0.3">
      <c r="A685">
        <v>232</v>
      </c>
      <c r="B685" t="s">
        <v>255</v>
      </c>
      <c r="C685">
        <v>31</v>
      </c>
      <c r="D685" t="s">
        <v>8</v>
      </c>
      <c r="E685">
        <v>114</v>
      </c>
      <c r="F685" t="s">
        <v>315</v>
      </c>
      <c r="G685">
        <v>3.82</v>
      </c>
    </row>
    <row r="686" spans="1:7" x14ac:dyDescent="0.3">
      <c r="A686">
        <v>471</v>
      </c>
      <c r="B686" t="s">
        <v>571</v>
      </c>
      <c r="C686">
        <v>23</v>
      </c>
      <c r="D686" t="s">
        <v>8</v>
      </c>
      <c r="E686">
        <v>122</v>
      </c>
      <c r="F686" t="s">
        <v>552</v>
      </c>
      <c r="G686">
        <v>2.85</v>
      </c>
    </row>
    <row r="687" spans="1:7" x14ac:dyDescent="0.3">
      <c r="A687">
        <v>719</v>
      </c>
      <c r="B687" t="s">
        <v>729</v>
      </c>
      <c r="C687">
        <v>16</v>
      </c>
      <c r="D687" t="s">
        <v>8</v>
      </c>
      <c r="E687">
        <v>158</v>
      </c>
      <c r="F687" t="s">
        <v>236</v>
      </c>
      <c r="G687">
        <v>2.4500000000000002</v>
      </c>
    </row>
    <row r="688" spans="1:7" x14ac:dyDescent="0.3">
      <c r="A688">
        <v>249</v>
      </c>
      <c r="B688" t="s">
        <v>367</v>
      </c>
      <c r="C688">
        <v>20</v>
      </c>
      <c r="D688" t="s">
        <v>8</v>
      </c>
      <c r="E688">
        <v>16</v>
      </c>
      <c r="F688" t="s">
        <v>354</v>
      </c>
      <c r="G688">
        <v>3.55</v>
      </c>
    </row>
    <row r="689" spans="1:7" x14ac:dyDescent="0.3">
      <c r="A689">
        <v>349</v>
      </c>
      <c r="B689" t="s">
        <v>367</v>
      </c>
      <c r="C689">
        <v>20</v>
      </c>
      <c r="D689" t="s">
        <v>8</v>
      </c>
      <c r="E689">
        <v>59</v>
      </c>
      <c r="F689" t="s">
        <v>169</v>
      </c>
      <c r="G689">
        <v>4.2300000000000004</v>
      </c>
    </row>
    <row r="690" spans="1:7" x14ac:dyDescent="0.3">
      <c r="A690">
        <v>573</v>
      </c>
      <c r="B690" t="s">
        <v>641</v>
      </c>
      <c r="C690">
        <v>26</v>
      </c>
      <c r="D690" t="s">
        <v>8</v>
      </c>
      <c r="E690">
        <v>156</v>
      </c>
      <c r="F690" t="s">
        <v>407</v>
      </c>
      <c r="G690">
        <v>1.77</v>
      </c>
    </row>
    <row r="691" spans="1:7" x14ac:dyDescent="0.3">
      <c r="A691">
        <v>542</v>
      </c>
      <c r="B691" t="s">
        <v>622</v>
      </c>
      <c r="C691">
        <v>17</v>
      </c>
      <c r="D691" t="s">
        <v>8</v>
      </c>
      <c r="E691">
        <v>22</v>
      </c>
      <c r="F691" t="s">
        <v>106</v>
      </c>
      <c r="G691">
        <v>2.1800000000000002</v>
      </c>
    </row>
    <row r="692" spans="1:7" x14ac:dyDescent="0.3">
      <c r="A692">
        <v>568</v>
      </c>
      <c r="B692" t="s">
        <v>622</v>
      </c>
      <c r="C692">
        <v>17</v>
      </c>
      <c r="D692" t="s">
        <v>8</v>
      </c>
      <c r="E692">
        <v>123</v>
      </c>
      <c r="F692" t="s">
        <v>271</v>
      </c>
      <c r="G692">
        <v>2.2799999999999998</v>
      </c>
    </row>
    <row r="693" spans="1:7" x14ac:dyDescent="0.3">
      <c r="A693">
        <v>626</v>
      </c>
      <c r="B693" t="s">
        <v>670</v>
      </c>
      <c r="C693">
        <v>16</v>
      </c>
      <c r="D693" t="s">
        <v>8</v>
      </c>
      <c r="E693">
        <v>75</v>
      </c>
      <c r="F693" t="s">
        <v>218</v>
      </c>
      <c r="G693">
        <v>2.42</v>
      </c>
    </row>
    <row r="694" spans="1:7" x14ac:dyDescent="0.3">
      <c r="A694">
        <v>505</v>
      </c>
      <c r="B694" t="s">
        <v>596</v>
      </c>
      <c r="C694">
        <v>19</v>
      </c>
      <c r="D694" t="s">
        <v>8</v>
      </c>
      <c r="E694">
        <v>110</v>
      </c>
      <c r="F694" t="s">
        <v>105</v>
      </c>
      <c r="G694">
        <v>1.44</v>
      </c>
    </row>
    <row r="695" spans="1:7" x14ac:dyDescent="0.3">
      <c r="A695">
        <v>185</v>
      </c>
      <c r="B695" t="s">
        <v>294</v>
      </c>
      <c r="C695">
        <v>20</v>
      </c>
      <c r="D695" t="s">
        <v>8</v>
      </c>
      <c r="E695">
        <v>150</v>
      </c>
      <c r="F695" t="s">
        <v>202</v>
      </c>
      <c r="G695">
        <v>2.85</v>
      </c>
    </row>
    <row r="696" spans="1:7" x14ac:dyDescent="0.3">
      <c r="A696">
        <v>104</v>
      </c>
      <c r="B696" t="s">
        <v>185</v>
      </c>
      <c r="C696">
        <v>24</v>
      </c>
      <c r="D696" t="s">
        <v>8</v>
      </c>
      <c r="E696">
        <v>53</v>
      </c>
      <c r="F696" t="s">
        <v>80</v>
      </c>
      <c r="G696">
        <v>2.0499999999999998</v>
      </c>
    </row>
    <row r="697" spans="1:7" x14ac:dyDescent="0.3">
      <c r="A697">
        <v>365</v>
      </c>
      <c r="B697" t="s">
        <v>480</v>
      </c>
      <c r="C697">
        <v>25</v>
      </c>
      <c r="D697" t="s">
        <v>8</v>
      </c>
      <c r="E697">
        <v>43</v>
      </c>
      <c r="F697" t="s">
        <v>481</v>
      </c>
      <c r="G697">
        <v>3.54</v>
      </c>
    </row>
    <row r="698" spans="1:7" x14ac:dyDescent="0.3">
      <c r="A698">
        <v>616</v>
      </c>
      <c r="B698" t="s">
        <v>666</v>
      </c>
      <c r="C698">
        <v>20</v>
      </c>
      <c r="D698" t="s">
        <v>8</v>
      </c>
      <c r="E698">
        <v>78</v>
      </c>
      <c r="F698" t="s">
        <v>208</v>
      </c>
      <c r="G698">
        <v>4.4000000000000004</v>
      </c>
    </row>
    <row r="699" spans="1:7" x14ac:dyDescent="0.3">
      <c r="A699">
        <v>252</v>
      </c>
      <c r="B699" t="s">
        <v>370</v>
      </c>
      <c r="C699">
        <v>39</v>
      </c>
      <c r="D699" t="s">
        <v>8</v>
      </c>
      <c r="E699">
        <v>92</v>
      </c>
      <c r="F699" t="s">
        <v>13</v>
      </c>
      <c r="G699">
        <v>4.88</v>
      </c>
    </row>
    <row r="700" spans="1:7" x14ac:dyDescent="0.3">
      <c r="A700">
        <v>159</v>
      </c>
      <c r="B700" t="s">
        <v>257</v>
      </c>
      <c r="C700">
        <v>25</v>
      </c>
      <c r="D700" t="s">
        <v>8</v>
      </c>
      <c r="E700">
        <v>39</v>
      </c>
      <c r="F700" t="s">
        <v>171</v>
      </c>
      <c r="G700">
        <v>3.94</v>
      </c>
    </row>
    <row r="701" spans="1:7" x14ac:dyDescent="0.3">
      <c r="A701">
        <v>759</v>
      </c>
      <c r="B701" t="s">
        <v>257</v>
      </c>
      <c r="C701">
        <v>25</v>
      </c>
      <c r="D701" t="s">
        <v>8</v>
      </c>
      <c r="E701">
        <v>72</v>
      </c>
      <c r="F701" t="s">
        <v>92</v>
      </c>
      <c r="G701">
        <v>3.77</v>
      </c>
    </row>
    <row r="702" spans="1:7" x14ac:dyDescent="0.3">
      <c r="A702">
        <v>107</v>
      </c>
      <c r="B702" t="s">
        <v>190</v>
      </c>
      <c r="C702">
        <v>36</v>
      </c>
      <c r="D702" t="s">
        <v>8</v>
      </c>
      <c r="E702">
        <v>99</v>
      </c>
      <c r="F702" t="s">
        <v>191</v>
      </c>
      <c r="G702">
        <v>1.71</v>
      </c>
    </row>
    <row r="703" spans="1:7" x14ac:dyDescent="0.3">
      <c r="A703">
        <v>316</v>
      </c>
      <c r="B703" t="s">
        <v>433</v>
      </c>
      <c r="C703">
        <v>25</v>
      </c>
      <c r="D703" t="s">
        <v>8</v>
      </c>
      <c r="E703">
        <v>15</v>
      </c>
      <c r="F703" t="s">
        <v>108</v>
      </c>
      <c r="G703">
        <v>2.96</v>
      </c>
    </row>
    <row r="704" spans="1:7" x14ac:dyDescent="0.3">
      <c r="A704">
        <v>379</v>
      </c>
      <c r="B704" t="s">
        <v>492</v>
      </c>
      <c r="C704">
        <v>18</v>
      </c>
      <c r="D704" t="s">
        <v>8</v>
      </c>
      <c r="E704">
        <v>100</v>
      </c>
      <c r="F704" t="s">
        <v>15</v>
      </c>
      <c r="G704">
        <v>3.27</v>
      </c>
    </row>
    <row r="705" spans="1:7" x14ac:dyDescent="0.3">
      <c r="A705">
        <v>677</v>
      </c>
      <c r="B705" t="s">
        <v>706</v>
      </c>
      <c r="C705">
        <v>27</v>
      </c>
      <c r="D705" t="s">
        <v>8</v>
      </c>
      <c r="E705">
        <v>32</v>
      </c>
      <c r="F705" t="s">
        <v>293</v>
      </c>
      <c r="G705">
        <v>1.1399999999999999</v>
      </c>
    </row>
    <row r="706" spans="1:7" x14ac:dyDescent="0.3">
      <c r="A706">
        <v>355</v>
      </c>
      <c r="B706" t="s">
        <v>470</v>
      </c>
      <c r="C706">
        <v>15</v>
      </c>
      <c r="D706" t="s">
        <v>8</v>
      </c>
      <c r="E706">
        <v>140</v>
      </c>
      <c r="F706" t="s">
        <v>70</v>
      </c>
      <c r="G706">
        <v>2.94</v>
      </c>
    </row>
    <row r="707" spans="1:7" x14ac:dyDescent="0.3">
      <c r="A707">
        <v>44</v>
      </c>
      <c r="B707" t="s">
        <v>94</v>
      </c>
      <c r="C707">
        <v>24</v>
      </c>
      <c r="D707" t="s">
        <v>8</v>
      </c>
      <c r="E707">
        <v>9</v>
      </c>
      <c r="F707" t="s">
        <v>95</v>
      </c>
      <c r="G707">
        <v>2.73</v>
      </c>
    </row>
    <row r="708" spans="1:7" x14ac:dyDescent="0.3">
      <c r="A708">
        <v>261</v>
      </c>
      <c r="B708" t="s">
        <v>94</v>
      </c>
      <c r="C708">
        <v>24</v>
      </c>
      <c r="D708" t="s">
        <v>8</v>
      </c>
      <c r="E708">
        <v>141</v>
      </c>
      <c r="F708" t="s">
        <v>58</v>
      </c>
      <c r="G708">
        <v>3.19</v>
      </c>
    </row>
    <row r="709" spans="1:7" x14ac:dyDescent="0.3">
      <c r="A709">
        <v>216</v>
      </c>
      <c r="B709" t="s">
        <v>331</v>
      </c>
      <c r="C709">
        <v>21</v>
      </c>
      <c r="D709" t="s">
        <v>8</v>
      </c>
      <c r="E709">
        <v>136</v>
      </c>
      <c r="F709" t="s">
        <v>28</v>
      </c>
      <c r="G709">
        <v>3.58</v>
      </c>
    </row>
    <row r="710" spans="1:7" x14ac:dyDescent="0.3">
      <c r="A710">
        <v>496</v>
      </c>
      <c r="B710" t="s">
        <v>590</v>
      </c>
      <c r="C710">
        <v>23</v>
      </c>
      <c r="D710" t="s">
        <v>8</v>
      </c>
      <c r="E710">
        <v>79</v>
      </c>
      <c r="F710" t="s">
        <v>467</v>
      </c>
      <c r="G710">
        <v>4.05</v>
      </c>
    </row>
    <row r="711" spans="1:7" x14ac:dyDescent="0.3">
      <c r="A711">
        <v>187</v>
      </c>
      <c r="B711" t="s">
        <v>297</v>
      </c>
      <c r="C711">
        <v>8</v>
      </c>
      <c r="D711" t="s">
        <v>8</v>
      </c>
      <c r="E711">
        <v>11</v>
      </c>
      <c r="F711" t="s">
        <v>298</v>
      </c>
      <c r="G711">
        <v>3.65</v>
      </c>
    </row>
    <row r="712" spans="1:7" x14ac:dyDescent="0.3">
      <c r="A712">
        <v>736</v>
      </c>
      <c r="B712" t="s">
        <v>740</v>
      </c>
      <c r="C712">
        <v>23</v>
      </c>
      <c r="D712" t="s">
        <v>8</v>
      </c>
      <c r="E712">
        <v>58</v>
      </c>
      <c r="F712" t="s">
        <v>221</v>
      </c>
      <c r="G712">
        <v>4.1399999999999997</v>
      </c>
    </row>
    <row r="713" spans="1:7" x14ac:dyDescent="0.3">
      <c r="A713">
        <v>469</v>
      </c>
      <c r="B713" t="s">
        <v>569</v>
      </c>
      <c r="C713">
        <v>24</v>
      </c>
      <c r="D713" t="s">
        <v>8</v>
      </c>
      <c r="E713">
        <v>148</v>
      </c>
      <c r="F713" t="s">
        <v>246</v>
      </c>
      <c r="G713">
        <v>4.03</v>
      </c>
    </row>
    <row r="714" spans="1:7" x14ac:dyDescent="0.3">
      <c r="A714">
        <v>654</v>
      </c>
      <c r="B714" t="s">
        <v>569</v>
      </c>
      <c r="C714">
        <v>24</v>
      </c>
      <c r="D714" t="s">
        <v>8</v>
      </c>
      <c r="E714">
        <v>19</v>
      </c>
      <c r="F714" t="s">
        <v>358</v>
      </c>
      <c r="G714">
        <v>1.02</v>
      </c>
    </row>
    <row r="715" spans="1:7" x14ac:dyDescent="0.3">
      <c r="A715">
        <v>29</v>
      </c>
      <c r="B715" t="s">
        <v>67</v>
      </c>
      <c r="C715">
        <v>24</v>
      </c>
      <c r="D715" t="s">
        <v>8</v>
      </c>
      <c r="E715">
        <v>37</v>
      </c>
      <c r="F715" t="s">
        <v>68</v>
      </c>
      <c r="G715">
        <v>3.16</v>
      </c>
    </row>
    <row r="716" spans="1:7" x14ac:dyDescent="0.3">
      <c r="A716">
        <v>580</v>
      </c>
      <c r="B716" t="s">
        <v>67</v>
      </c>
      <c r="C716">
        <v>24</v>
      </c>
      <c r="D716" t="s">
        <v>8</v>
      </c>
      <c r="E716">
        <v>178</v>
      </c>
      <c r="F716" t="s">
        <v>60</v>
      </c>
      <c r="G716">
        <v>4.2300000000000004</v>
      </c>
    </row>
    <row r="717" spans="1:7" x14ac:dyDescent="0.3">
      <c r="A717">
        <v>172</v>
      </c>
      <c r="B717" t="s">
        <v>274</v>
      </c>
      <c r="C717">
        <v>21</v>
      </c>
      <c r="D717" t="s">
        <v>8</v>
      </c>
      <c r="E717">
        <v>65</v>
      </c>
      <c r="F717" t="s">
        <v>262</v>
      </c>
      <c r="G717">
        <v>4.24</v>
      </c>
    </row>
    <row r="718" spans="1:7" x14ac:dyDescent="0.3">
      <c r="A718">
        <v>58</v>
      </c>
      <c r="B718" t="s">
        <v>120</v>
      </c>
      <c r="C718">
        <v>23</v>
      </c>
      <c r="D718" t="s">
        <v>8</v>
      </c>
      <c r="E718">
        <v>152</v>
      </c>
      <c r="F718" t="s">
        <v>121</v>
      </c>
      <c r="G718">
        <v>1.74</v>
      </c>
    </row>
    <row r="719" spans="1:7" x14ac:dyDescent="0.3">
      <c r="A719">
        <v>315</v>
      </c>
      <c r="B719" t="s">
        <v>120</v>
      </c>
      <c r="C719">
        <v>23</v>
      </c>
      <c r="D719" t="s">
        <v>8</v>
      </c>
      <c r="E719">
        <v>107</v>
      </c>
      <c r="F719" t="s">
        <v>352</v>
      </c>
      <c r="G719">
        <v>2.1800000000000002</v>
      </c>
    </row>
    <row r="720" spans="1:7" x14ac:dyDescent="0.3">
      <c r="A720">
        <v>323</v>
      </c>
      <c r="B720" t="s">
        <v>120</v>
      </c>
      <c r="C720">
        <v>23</v>
      </c>
      <c r="D720" t="s">
        <v>8</v>
      </c>
      <c r="E720">
        <v>131</v>
      </c>
      <c r="F720" t="s">
        <v>17</v>
      </c>
      <c r="G720">
        <v>1.44</v>
      </c>
    </row>
    <row r="721" spans="1:7" x14ac:dyDescent="0.3">
      <c r="A721">
        <v>466</v>
      </c>
      <c r="B721" t="s">
        <v>565</v>
      </c>
      <c r="C721">
        <v>23</v>
      </c>
      <c r="D721" t="s">
        <v>8</v>
      </c>
      <c r="E721">
        <v>112</v>
      </c>
      <c r="F721" t="s">
        <v>566</v>
      </c>
      <c r="G721">
        <v>2.6</v>
      </c>
    </row>
    <row r="722" spans="1:7" x14ac:dyDescent="0.3">
      <c r="A722">
        <v>574</v>
      </c>
      <c r="B722" t="s">
        <v>565</v>
      </c>
      <c r="C722">
        <v>23</v>
      </c>
      <c r="D722" t="s">
        <v>8</v>
      </c>
      <c r="E722">
        <v>131</v>
      </c>
      <c r="F722" t="s">
        <v>17</v>
      </c>
      <c r="G722">
        <v>1.44</v>
      </c>
    </row>
    <row r="723" spans="1:7" x14ac:dyDescent="0.3">
      <c r="A723">
        <v>332</v>
      </c>
      <c r="B723" t="s">
        <v>447</v>
      </c>
      <c r="C723">
        <v>25</v>
      </c>
      <c r="D723" t="s">
        <v>8</v>
      </c>
      <c r="E723">
        <v>161</v>
      </c>
      <c r="F723" t="s">
        <v>44</v>
      </c>
      <c r="G723">
        <v>1.76</v>
      </c>
    </row>
    <row r="724" spans="1:7" x14ac:dyDescent="0.3">
      <c r="A724">
        <v>241</v>
      </c>
      <c r="B724" t="s">
        <v>360</v>
      </c>
      <c r="C724">
        <v>22</v>
      </c>
      <c r="D724" t="s">
        <v>8</v>
      </c>
      <c r="E724">
        <v>10</v>
      </c>
      <c r="F724" t="s">
        <v>187</v>
      </c>
      <c r="G724">
        <v>1.79</v>
      </c>
    </row>
    <row r="725" spans="1:7" x14ac:dyDescent="0.3">
      <c r="A725">
        <v>335</v>
      </c>
      <c r="B725" t="s">
        <v>450</v>
      </c>
      <c r="C725">
        <v>33</v>
      </c>
      <c r="D725" t="s">
        <v>8</v>
      </c>
      <c r="E725">
        <v>67</v>
      </c>
      <c r="F725" t="s">
        <v>451</v>
      </c>
      <c r="G725">
        <v>3.46</v>
      </c>
    </row>
    <row r="726" spans="1:7" x14ac:dyDescent="0.3">
      <c r="A726">
        <v>308</v>
      </c>
      <c r="B726" t="s">
        <v>427</v>
      </c>
      <c r="C726">
        <v>34</v>
      </c>
      <c r="D726" t="s">
        <v>8</v>
      </c>
      <c r="E726">
        <v>98</v>
      </c>
      <c r="F726" t="s">
        <v>40</v>
      </c>
      <c r="G726">
        <v>2.89</v>
      </c>
    </row>
    <row r="727" spans="1:7" x14ac:dyDescent="0.3">
      <c r="A727">
        <v>114</v>
      </c>
      <c r="B727" t="s">
        <v>201</v>
      </c>
      <c r="C727">
        <v>22</v>
      </c>
      <c r="D727" t="s">
        <v>8</v>
      </c>
      <c r="E727">
        <v>150</v>
      </c>
      <c r="F727" t="s">
        <v>202</v>
      </c>
      <c r="G727">
        <v>2.85</v>
      </c>
    </row>
    <row r="728" spans="1:7" x14ac:dyDescent="0.3">
      <c r="A728">
        <v>223</v>
      </c>
      <c r="B728" t="s">
        <v>201</v>
      </c>
      <c r="C728">
        <v>22</v>
      </c>
      <c r="D728" t="s">
        <v>8</v>
      </c>
      <c r="E728">
        <v>142</v>
      </c>
      <c r="F728" t="s">
        <v>338</v>
      </c>
      <c r="G728">
        <v>2.62</v>
      </c>
    </row>
    <row r="729" spans="1:7" x14ac:dyDescent="0.3">
      <c r="A729">
        <v>462</v>
      </c>
      <c r="B729" t="s">
        <v>562</v>
      </c>
      <c r="C729">
        <v>20</v>
      </c>
      <c r="D729" t="s">
        <v>8</v>
      </c>
      <c r="E729">
        <v>144</v>
      </c>
      <c r="F729" t="s">
        <v>278</v>
      </c>
      <c r="G729">
        <v>1.94</v>
      </c>
    </row>
    <row r="730" spans="1:7" x14ac:dyDescent="0.3">
      <c r="A730">
        <v>354</v>
      </c>
      <c r="B730" t="s">
        <v>469</v>
      </c>
      <c r="C730">
        <v>21</v>
      </c>
      <c r="D730" t="s">
        <v>8</v>
      </c>
      <c r="E730">
        <v>163</v>
      </c>
      <c r="F730" t="s">
        <v>350</v>
      </c>
      <c r="G730">
        <v>3.45</v>
      </c>
    </row>
    <row r="731" spans="1:7" x14ac:dyDescent="0.3">
      <c r="A731">
        <v>8</v>
      </c>
      <c r="B731" t="s">
        <v>24</v>
      </c>
      <c r="C731">
        <v>22</v>
      </c>
      <c r="D731" t="s">
        <v>8</v>
      </c>
      <c r="E731">
        <v>21</v>
      </c>
      <c r="F731" t="s">
        <v>25</v>
      </c>
      <c r="G731">
        <v>1.1000000000000001</v>
      </c>
    </row>
    <row r="732" spans="1:7" x14ac:dyDescent="0.3">
      <c r="A732">
        <v>321</v>
      </c>
      <c r="B732" t="s">
        <v>437</v>
      </c>
      <c r="C732">
        <v>33</v>
      </c>
      <c r="D732" t="s">
        <v>8</v>
      </c>
      <c r="E732">
        <v>118</v>
      </c>
      <c r="F732" t="s">
        <v>438</v>
      </c>
      <c r="G732">
        <v>2.17</v>
      </c>
    </row>
    <row r="733" spans="1:7" x14ac:dyDescent="0.3">
      <c r="A733">
        <v>689</v>
      </c>
      <c r="B733" t="s">
        <v>437</v>
      </c>
      <c r="C733">
        <v>33</v>
      </c>
      <c r="D733" t="s">
        <v>8</v>
      </c>
      <c r="E733">
        <v>76</v>
      </c>
      <c r="F733" t="s">
        <v>82</v>
      </c>
      <c r="G733">
        <v>3.15</v>
      </c>
    </row>
    <row r="734" spans="1:7" x14ac:dyDescent="0.3">
      <c r="A734">
        <v>229</v>
      </c>
      <c r="B734" t="s">
        <v>343</v>
      </c>
      <c r="C734">
        <v>17</v>
      </c>
      <c r="D734" t="s">
        <v>8</v>
      </c>
      <c r="E734">
        <v>72</v>
      </c>
      <c r="F734" t="s">
        <v>92</v>
      </c>
      <c r="G734">
        <v>3.77</v>
      </c>
    </row>
    <row r="735" spans="1:7" x14ac:dyDescent="0.3">
      <c r="A735">
        <v>90</v>
      </c>
      <c r="B735" t="s">
        <v>167</v>
      </c>
      <c r="C735">
        <v>21</v>
      </c>
      <c r="D735" t="s">
        <v>8</v>
      </c>
      <c r="E735">
        <v>60</v>
      </c>
      <c r="F735" t="s">
        <v>110</v>
      </c>
      <c r="G735">
        <v>3.54</v>
      </c>
    </row>
    <row r="736" spans="1:7" x14ac:dyDescent="0.3">
      <c r="A736">
        <v>620</v>
      </c>
      <c r="B736" t="s">
        <v>167</v>
      </c>
      <c r="C736">
        <v>21</v>
      </c>
      <c r="D736" t="s">
        <v>8</v>
      </c>
      <c r="E736">
        <v>109</v>
      </c>
      <c r="F736" t="s">
        <v>183</v>
      </c>
      <c r="G736">
        <v>4.76</v>
      </c>
    </row>
    <row r="737" spans="1:7" x14ac:dyDescent="0.3">
      <c r="A737">
        <v>704</v>
      </c>
      <c r="B737" t="s">
        <v>721</v>
      </c>
      <c r="C737">
        <v>18</v>
      </c>
      <c r="D737" t="s">
        <v>8</v>
      </c>
      <c r="E737">
        <v>95</v>
      </c>
      <c r="F737" t="s">
        <v>30</v>
      </c>
      <c r="G737">
        <v>4.74</v>
      </c>
    </row>
    <row r="738" spans="1:7" x14ac:dyDescent="0.3">
      <c r="A738">
        <v>337</v>
      </c>
      <c r="B738" t="s">
        <v>454</v>
      </c>
      <c r="C738">
        <v>15</v>
      </c>
      <c r="D738" t="s">
        <v>8</v>
      </c>
      <c r="E738">
        <v>17</v>
      </c>
      <c r="F738" t="s">
        <v>166</v>
      </c>
      <c r="G738">
        <v>1.7</v>
      </c>
    </row>
    <row r="739" spans="1:7" x14ac:dyDescent="0.3">
      <c r="A739">
        <v>497</v>
      </c>
      <c r="B739" t="s">
        <v>454</v>
      </c>
      <c r="C739">
        <v>15</v>
      </c>
      <c r="D739" t="s">
        <v>8</v>
      </c>
      <c r="E739">
        <v>52</v>
      </c>
      <c r="F739" t="s">
        <v>415</v>
      </c>
      <c r="G739">
        <v>4.84</v>
      </c>
    </row>
    <row r="740" spans="1:7" x14ac:dyDescent="0.3">
      <c r="A740">
        <v>625</v>
      </c>
      <c r="B740" t="s">
        <v>669</v>
      </c>
      <c r="C740">
        <v>20</v>
      </c>
      <c r="D740" t="s">
        <v>8</v>
      </c>
      <c r="E740">
        <v>133</v>
      </c>
      <c r="F740" t="s">
        <v>74</v>
      </c>
      <c r="G740">
        <v>4.09</v>
      </c>
    </row>
    <row r="741" spans="1:7" x14ac:dyDescent="0.3">
      <c r="A741">
        <v>553</v>
      </c>
      <c r="B741" t="s">
        <v>628</v>
      </c>
      <c r="C741">
        <v>28</v>
      </c>
      <c r="D741" t="s">
        <v>8</v>
      </c>
      <c r="E741">
        <v>2</v>
      </c>
      <c r="F741" t="s">
        <v>229</v>
      </c>
      <c r="G741">
        <v>2.48</v>
      </c>
    </row>
    <row r="742" spans="1:7" x14ac:dyDescent="0.3">
      <c r="A742">
        <v>60</v>
      </c>
      <c r="B742" t="s">
        <v>124</v>
      </c>
      <c r="C742">
        <v>34</v>
      </c>
      <c r="D742" t="s">
        <v>8</v>
      </c>
      <c r="E742">
        <v>44</v>
      </c>
      <c r="F742" t="s">
        <v>76</v>
      </c>
      <c r="G742">
        <v>2.38</v>
      </c>
    </row>
    <row r="743" spans="1:7" x14ac:dyDescent="0.3">
      <c r="A743">
        <v>62</v>
      </c>
      <c r="B743" t="s">
        <v>126</v>
      </c>
      <c r="C743">
        <v>30</v>
      </c>
      <c r="D743" t="s">
        <v>8</v>
      </c>
      <c r="E743">
        <v>178</v>
      </c>
      <c r="F743" t="s">
        <v>60</v>
      </c>
      <c r="G743">
        <v>4.2300000000000004</v>
      </c>
    </row>
    <row r="744" spans="1:7" x14ac:dyDescent="0.3">
      <c r="A744">
        <v>421</v>
      </c>
      <c r="B744" t="s">
        <v>126</v>
      </c>
      <c r="C744">
        <v>30</v>
      </c>
      <c r="D744" t="s">
        <v>8</v>
      </c>
      <c r="E744">
        <v>26</v>
      </c>
      <c r="F744" t="s">
        <v>527</v>
      </c>
      <c r="G744">
        <v>1.1200000000000001</v>
      </c>
    </row>
    <row r="745" spans="1:7" x14ac:dyDescent="0.3">
      <c r="A745">
        <v>5</v>
      </c>
      <c r="B745" t="s">
        <v>18</v>
      </c>
      <c r="C745">
        <v>22</v>
      </c>
      <c r="D745" t="s">
        <v>8</v>
      </c>
      <c r="E745">
        <v>81</v>
      </c>
      <c r="F745" t="s">
        <v>19</v>
      </c>
      <c r="G745">
        <v>3.61</v>
      </c>
    </row>
    <row r="746" spans="1:7" x14ac:dyDescent="0.3">
      <c r="A746">
        <v>447</v>
      </c>
      <c r="B746" t="s">
        <v>18</v>
      </c>
      <c r="C746">
        <v>22</v>
      </c>
      <c r="D746" t="s">
        <v>8</v>
      </c>
      <c r="E746">
        <v>120</v>
      </c>
      <c r="F746" t="s">
        <v>225</v>
      </c>
      <c r="G746">
        <v>3.08</v>
      </c>
    </row>
    <row r="747" spans="1:7" x14ac:dyDescent="0.3">
      <c r="A747">
        <v>681</v>
      </c>
      <c r="B747" t="s">
        <v>708</v>
      </c>
      <c r="C747">
        <v>33</v>
      </c>
      <c r="D747" t="s">
        <v>8</v>
      </c>
      <c r="E747">
        <v>28</v>
      </c>
      <c r="F747" t="s">
        <v>371</v>
      </c>
      <c r="G747">
        <v>1.06</v>
      </c>
    </row>
    <row r="748" spans="1:7" x14ac:dyDescent="0.3">
      <c r="A748">
        <v>59</v>
      </c>
      <c r="B748" t="s">
        <v>122</v>
      </c>
      <c r="C748">
        <v>19</v>
      </c>
      <c r="D748" t="s">
        <v>8</v>
      </c>
      <c r="E748">
        <v>105</v>
      </c>
      <c r="F748" t="s">
        <v>123</v>
      </c>
      <c r="G748">
        <v>3.03</v>
      </c>
    </row>
    <row r="749" spans="1:7" x14ac:dyDescent="0.3">
      <c r="A749">
        <v>383</v>
      </c>
      <c r="B749" t="s">
        <v>496</v>
      </c>
      <c r="C749">
        <v>34</v>
      </c>
      <c r="D749" t="s">
        <v>8</v>
      </c>
      <c r="E749">
        <v>11</v>
      </c>
      <c r="F749" t="s">
        <v>298</v>
      </c>
      <c r="G749">
        <v>3.65</v>
      </c>
    </row>
    <row r="750" spans="1:7" x14ac:dyDescent="0.3">
      <c r="A750">
        <v>518</v>
      </c>
      <c r="B750" t="s">
        <v>605</v>
      </c>
      <c r="C750">
        <v>29</v>
      </c>
      <c r="D750" t="s">
        <v>8</v>
      </c>
      <c r="E750">
        <v>160</v>
      </c>
      <c r="F750" t="s">
        <v>78</v>
      </c>
      <c r="G750">
        <v>4.4000000000000004</v>
      </c>
    </row>
    <row r="751" spans="1:7" x14ac:dyDescent="0.3">
      <c r="A751">
        <v>364</v>
      </c>
      <c r="B751" t="s">
        <v>479</v>
      </c>
      <c r="C751">
        <v>22</v>
      </c>
      <c r="D751" t="s">
        <v>8</v>
      </c>
      <c r="E751">
        <v>88</v>
      </c>
      <c r="F751" t="s">
        <v>148</v>
      </c>
      <c r="G751">
        <v>3.75</v>
      </c>
    </row>
    <row r="752" spans="1:7" x14ac:dyDescent="0.3">
      <c r="A752">
        <v>279</v>
      </c>
      <c r="B752" t="s">
        <v>395</v>
      </c>
      <c r="C752">
        <v>20</v>
      </c>
      <c r="D752" t="s">
        <v>8</v>
      </c>
      <c r="E752">
        <v>163</v>
      </c>
      <c r="F752" t="s">
        <v>350</v>
      </c>
      <c r="G752">
        <v>3.45</v>
      </c>
    </row>
    <row r="753" spans="1:7" x14ac:dyDescent="0.3">
      <c r="A753">
        <v>231</v>
      </c>
      <c r="B753" t="s">
        <v>345</v>
      </c>
      <c r="C753">
        <v>26</v>
      </c>
      <c r="D753" t="s">
        <v>8</v>
      </c>
      <c r="E753">
        <v>139</v>
      </c>
      <c r="F753" t="s">
        <v>196</v>
      </c>
      <c r="G753">
        <v>4.9400000000000004</v>
      </c>
    </row>
    <row r="754" spans="1:7" x14ac:dyDescent="0.3">
      <c r="A754">
        <v>696</v>
      </c>
      <c r="B754" t="s">
        <v>713</v>
      </c>
      <c r="C754">
        <v>30</v>
      </c>
      <c r="D754" t="s">
        <v>8</v>
      </c>
      <c r="E754">
        <v>87</v>
      </c>
      <c r="F754" t="s">
        <v>210</v>
      </c>
      <c r="G754">
        <v>4.43</v>
      </c>
    </row>
    <row r="755" spans="1:7" x14ac:dyDescent="0.3">
      <c r="A755">
        <v>46</v>
      </c>
      <c r="B755" t="s">
        <v>98</v>
      </c>
      <c r="C755">
        <v>27</v>
      </c>
      <c r="D755" t="s">
        <v>8</v>
      </c>
      <c r="E755">
        <v>102</v>
      </c>
      <c r="F755" t="s">
        <v>99</v>
      </c>
      <c r="G755">
        <v>3.44</v>
      </c>
    </row>
    <row r="756" spans="1:7" x14ac:dyDescent="0.3">
      <c r="A756">
        <v>340</v>
      </c>
      <c r="B756" t="s">
        <v>457</v>
      </c>
      <c r="C756">
        <v>22</v>
      </c>
      <c r="D756" t="s">
        <v>8</v>
      </c>
      <c r="E756">
        <v>41</v>
      </c>
      <c r="F756" t="s">
        <v>198</v>
      </c>
      <c r="G756">
        <v>4.75</v>
      </c>
    </row>
    <row r="757" spans="1:7" x14ac:dyDescent="0.3">
      <c r="A757">
        <v>257</v>
      </c>
      <c r="B757" t="s">
        <v>375</v>
      </c>
      <c r="C757">
        <v>26</v>
      </c>
      <c r="D757" t="s">
        <v>8</v>
      </c>
      <c r="E757">
        <v>175</v>
      </c>
      <c r="F757" t="s">
        <v>239</v>
      </c>
      <c r="G757">
        <v>4.4800000000000004</v>
      </c>
    </row>
    <row r="758" spans="1:7" x14ac:dyDescent="0.3">
      <c r="A758">
        <v>514</v>
      </c>
      <c r="B758" t="s">
        <v>602</v>
      </c>
      <c r="C758">
        <v>21</v>
      </c>
      <c r="D758" t="s">
        <v>8</v>
      </c>
      <c r="E758">
        <v>21</v>
      </c>
      <c r="F758" t="s">
        <v>25</v>
      </c>
      <c r="G758">
        <v>1.1000000000000001</v>
      </c>
    </row>
    <row r="759" spans="1:7" x14ac:dyDescent="0.3">
      <c r="A759">
        <v>777</v>
      </c>
      <c r="B759" t="s">
        <v>763</v>
      </c>
      <c r="C759">
        <v>20</v>
      </c>
      <c r="D759" t="s">
        <v>8</v>
      </c>
      <c r="E759">
        <v>67</v>
      </c>
      <c r="F759" t="s">
        <v>451</v>
      </c>
      <c r="G759">
        <v>3.46</v>
      </c>
    </row>
    <row r="760" spans="1:7" x14ac:dyDescent="0.3">
      <c r="A760">
        <v>93</v>
      </c>
      <c r="B760" t="s">
        <v>172</v>
      </c>
      <c r="C760">
        <v>22</v>
      </c>
      <c r="D760" t="s">
        <v>8</v>
      </c>
      <c r="E760">
        <v>88</v>
      </c>
      <c r="F760" t="s">
        <v>148</v>
      </c>
      <c r="G760">
        <v>3.75</v>
      </c>
    </row>
    <row r="761" spans="1:7" x14ac:dyDescent="0.3">
      <c r="A761">
        <v>595</v>
      </c>
      <c r="B761" t="s">
        <v>172</v>
      </c>
      <c r="C761">
        <v>22</v>
      </c>
      <c r="D761" t="s">
        <v>8</v>
      </c>
      <c r="E761">
        <v>55</v>
      </c>
      <c r="F761" t="s">
        <v>656</v>
      </c>
      <c r="G761">
        <v>2.27</v>
      </c>
    </row>
    <row r="762" spans="1:7" x14ac:dyDescent="0.3">
      <c r="A762">
        <v>54</v>
      </c>
      <c r="B762" t="s">
        <v>113</v>
      </c>
      <c r="C762">
        <v>10</v>
      </c>
      <c r="D762" t="s">
        <v>8</v>
      </c>
      <c r="E762">
        <v>25</v>
      </c>
      <c r="F762" t="s">
        <v>114</v>
      </c>
      <c r="G762">
        <v>4.3499999999999996</v>
      </c>
    </row>
    <row r="763" spans="1:7" x14ac:dyDescent="0.3">
      <c r="A763">
        <v>141</v>
      </c>
      <c r="B763" t="s">
        <v>113</v>
      </c>
      <c r="C763">
        <v>10</v>
      </c>
      <c r="D763" t="s">
        <v>8</v>
      </c>
      <c r="E763">
        <v>60</v>
      </c>
      <c r="F763" t="s">
        <v>110</v>
      </c>
      <c r="G763">
        <v>3.54</v>
      </c>
    </row>
    <row r="764" spans="1:7" x14ac:dyDescent="0.3">
      <c r="A764">
        <v>17</v>
      </c>
      <c r="B764" t="s">
        <v>43</v>
      </c>
      <c r="C764">
        <v>21</v>
      </c>
      <c r="D764" t="s">
        <v>8</v>
      </c>
      <c r="E764">
        <v>161</v>
      </c>
      <c r="F764" t="s">
        <v>44</v>
      </c>
      <c r="G764">
        <v>1.76</v>
      </c>
    </row>
    <row r="765" spans="1:7" x14ac:dyDescent="0.3">
      <c r="A765">
        <v>442</v>
      </c>
      <c r="B765" t="s">
        <v>43</v>
      </c>
      <c r="C765">
        <v>21</v>
      </c>
      <c r="D765" t="s">
        <v>8</v>
      </c>
      <c r="E765">
        <v>84</v>
      </c>
      <c r="F765" t="s">
        <v>116</v>
      </c>
      <c r="G765">
        <v>3.79</v>
      </c>
    </row>
    <row r="766" spans="1:7" x14ac:dyDescent="0.3">
      <c r="A766">
        <v>560</v>
      </c>
      <c r="B766" t="s">
        <v>43</v>
      </c>
      <c r="C766">
        <v>21</v>
      </c>
      <c r="D766" t="s">
        <v>8</v>
      </c>
      <c r="E766">
        <v>2</v>
      </c>
      <c r="F766" t="s">
        <v>229</v>
      </c>
      <c r="G766">
        <v>2.48</v>
      </c>
    </row>
    <row r="767" spans="1:7" x14ac:dyDescent="0.3">
      <c r="A767">
        <v>637</v>
      </c>
      <c r="B767" t="s">
        <v>676</v>
      </c>
      <c r="C767">
        <v>24</v>
      </c>
      <c r="D767" t="s">
        <v>27</v>
      </c>
      <c r="E767">
        <v>163</v>
      </c>
      <c r="F767" t="s">
        <v>350</v>
      </c>
      <c r="G767">
        <v>3.45</v>
      </c>
    </row>
    <row r="768" spans="1:7" x14ac:dyDescent="0.3">
      <c r="A768">
        <v>9</v>
      </c>
      <c r="B768" t="s">
        <v>26</v>
      </c>
      <c r="C768">
        <v>35</v>
      </c>
      <c r="D768" t="s">
        <v>27</v>
      </c>
      <c r="E768">
        <v>136</v>
      </c>
      <c r="F768" t="s">
        <v>28</v>
      </c>
      <c r="G768">
        <v>3.58</v>
      </c>
    </row>
    <row r="769" spans="1:7" x14ac:dyDescent="0.3">
      <c r="A769">
        <v>484</v>
      </c>
      <c r="B769" t="s">
        <v>26</v>
      </c>
      <c r="C769">
        <v>35</v>
      </c>
      <c r="D769" t="s">
        <v>27</v>
      </c>
      <c r="E769">
        <v>39</v>
      </c>
      <c r="F769" t="s">
        <v>171</v>
      </c>
      <c r="G769">
        <v>3.94</v>
      </c>
    </row>
    <row r="770" spans="1:7" x14ac:dyDescent="0.3">
      <c r="A770">
        <v>242</v>
      </c>
      <c r="B770" t="s">
        <v>361</v>
      </c>
      <c r="C770">
        <v>16</v>
      </c>
      <c r="D770" t="s">
        <v>27</v>
      </c>
      <c r="E770">
        <v>39</v>
      </c>
      <c r="F770" t="s">
        <v>171</v>
      </c>
      <c r="G770">
        <v>3.94</v>
      </c>
    </row>
    <row r="771" spans="1:7" x14ac:dyDescent="0.3">
      <c r="A771">
        <v>82</v>
      </c>
      <c r="B771" t="s">
        <v>156</v>
      </c>
      <c r="C771">
        <v>16</v>
      </c>
      <c r="D771" t="s">
        <v>27</v>
      </c>
      <c r="E771">
        <v>160</v>
      </c>
      <c r="F771" t="s">
        <v>78</v>
      </c>
      <c r="G771">
        <v>4.4000000000000004</v>
      </c>
    </row>
    <row r="772" spans="1:7" x14ac:dyDescent="0.3">
      <c r="A772">
        <v>237</v>
      </c>
      <c r="B772" t="s">
        <v>353</v>
      </c>
      <c r="C772">
        <v>20</v>
      </c>
      <c r="D772" t="s">
        <v>27</v>
      </c>
      <c r="E772">
        <v>16</v>
      </c>
      <c r="F772" t="s">
        <v>354</v>
      </c>
      <c r="G772">
        <v>3.55</v>
      </c>
    </row>
    <row r="773" spans="1:7" x14ac:dyDescent="0.3">
      <c r="A773">
        <v>291</v>
      </c>
      <c r="B773" t="s">
        <v>353</v>
      </c>
      <c r="C773">
        <v>20</v>
      </c>
      <c r="D773" t="s">
        <v>27</v>
      </c>
      <c r="E773">
        <v>35</v>
      </c>
      <c r="F773" t="s">
        <v>411</v>
      </c>
      <c r="G773">
        <v>3.45</v>
      </c>
    </row>
    <row r="774" spans="1:7" x14ac:dyDescent="0.3">
      <c r="A774">
        <v>228</v>
      </c>
      <c r="B774" t="s">
        <v>342</v>
      </c>
      <c r="C774">
        <v>20</v>
      </c>
      <c r="D774" t="s">
        <v>27</v>
      </c>
      <c r="E774">
        <v>80</v>
      </c>
      <c r="F774" t="s">
        <v>119</v>
      </c>
      <c r="G774">
        <v>3.39</v>
      </c>
    </row>
    <row r="775" spans="1:7" x14ac:dyDescent="0.3">
      <c r="A775">
        <v>401</v>
      </c>
      <c r="B775" t="s">
        <v>513</v>
      </c>
      <c r="C775">
        <v>15</v>
      </c>
      <c r="D775" t="s">
        <v>27</v>
      </c>
      <c r="E775">
        <v>46</v>
      </c>
      <c r="F775" t="s">
        <v>243</v>
      </c>
      <c r="G775">
        <v>1.33</v>
      </c>
    </row>
    <row r="776" spans="1:7" x14ac:dyDescent="0.3">
      <c r="A776">
        <v>549</v>
      </c>
      <c r="B776" t="s">
        <v>626</v>
      </c>
      <c r="C776">
        <v>25</v>
      </c>
      <c r="D776" t="s">
        <v>27</v>
      </c>
      <c r="E776">
        <v>146</v>
      </c>
      <c r="F776" t="s">
        <v>231</v>
      </c>
      <c r="G776">
        <v>3.1</v>
      </c>
    </row>
    <row r="777" spans="1:7" x14ac:dyDescent="0.3">
      <c r="A777">
        <v>629</v>
      </c>
      <c r="B777" t="s">
        <v>626</v>
      </c>
      <c r="C777">
        <v>25</v>
      </c>
      <c r="D777" t="s">
        <v>27</v>
      </c>
      <c r="E777">
        <v>107</v>
      </c>
      <c r="F777" t="s">
        <v>352</v>
      </c>
      <c r="G777">
        <v>2.1800000000000002</v>
      </c>
    </row>
    <row r="778" spans="1:7" x14ac:dyDescent="0.3">
      <c r="A778">
        <v>350</v>
      </c>
      <c r="B778" t="s">
        <v>465</v>
      </c>
      <c r="C778">
        <v>15</v>
      </c>
      <c r="D778" t="s">
        <v>27</v>
      </c>
      <c r="E778">
        <v>34</v>
      </c>
      <c r="F778" t="s">
        <v>132</v>
      </c>
      <c r="G778">
        <v>2.2200000000000002</v>
      </c>
    </row>
    <row r="779" spans="1:7" x14ac:dyDescent="0.3">
      <c r="A779">
        <v>22</v>
      </c>
      <c r="B779" t="s">
        <v>53</v>
      </c>
      <c r="C779">
        <v>38</v>
      </c>
      <c r="D779" t="s">
        <v>27</v>
      </c>
      <c r="E779">
        <v>24</v>
      </c>
      <c r="F779" t="s">
        <v>54</v>
      </c>
      <c r="G779">
        <v>3.81</v>
      </c>
    </row>
    <row r="780" spans="1:7" x14ac:dyDescent="0.3">
      <c r="A780">
        <v>747</v>
      </c>
      <c r="B780" t="s">
        <v>53</v>
      </c>
      <c r="C780">
        <v>38</v>
      </c>
      <c r="D780" t="s">
        <v>27</v>
      </c>
      <c r="E780">
        <v>146</v>
      </c>
      <c r="F780" t="s">
        <v>231</v>
      </c>
      <c r="G780">
        <v>3.1</v>
      </c>
    </row>
    <row r="781" spans="1:7" x14ac:dyDescent="0.3">
      <c r="A781">
        <v>111</v>
      </c>
      <c r="B781" t="s">
        <v>197</v>
      </c>
      <c r="C781">
        <v>21</v>
      </c>
      <c r="D781" t="s">
        <v>27</v>
      </c>
      <c r="E781">
        <v>41</v>
      </c>
      <c r="F781" t="s">
        <v>198</v>
      </c>
      <c r="G781">
        <v>4.75</v>
      </c>
    </row>
  </sheetData>
  <sortState xmlns:xlrd2="http://schemas.microsoft.com/office/spreadsheetml/2017/richdata2" ref="A2:G781">
    <sortCondition ref="D2:D781"/>
    <sortCondition ref="B2:B78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58"/>
  <sheetViews>
    <sheetView topLeftCell="A1319" workbookViewId="0">
      <selection activeCell="I6" sqref="I6"/>
    </sheetView>
  </sheetViews>
  <sheetFormatPr defaultRowHeight="14.4" outlineLevelRow="2" x14ac:dyDescent="0.3"/>
  <cols>
    <col min="2" max="2" width="14.33203125" bestFit="1" customWidth="1"/>
    <col min="6" max="6" width="39.1093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>
        <v>4.47</v>
      </c>
      <c r="J1" t="s">
        <v>1342</v>
      </c>
    </row>
    <row r="2" spans="1:10" hidden="1" outlineLevel="2" x14ac:dyDescent="0.3">
      <c r="A2">
        <v>142</v>
      </c>
      <c r="B2" t="s">
        <v>238</v>
      </c>
      <c r="C2">
        <v>35</v>
      </c>
      <c r="D2" t="s">
        <v>39</v>
      </c>
      <c r="E2">
        <v>175</v>
      </c>
      <c r="F2" t="s">
        <v>239</v>
      </c>
      <c r="G2">
        <v>4.4800000000000004</v>
      </c>
    </row>
    <row r="3" spans="1:10" outlineLevel="1" collapsed="1" x14ac:dyDescent="0.3">
      <c r="B3" s="1" t="s">
        <v>765</v>
      </c>
      <c r="D3" t="str">
        <f>D2</f>
        <v>Female</v>
      </c>
      <c r="G3">
        <f>SUBTOTAL(9,G2:G2)</f>
        <v>4.4800000000000004</v>
      </c>
      <c r="I3">
        <v>4.07</v>
      </c>
      <c r="J3" t="s">
        <v>1343</v>
      </c>
    </row>
    <row r="4" spans="1:10" hidden="1" outlineLevel="2" x14ac:dyDescent="0.3">
      <c r="A4">
        <v>274</v>
      </c>
      <c r="B4" t="s">
        <v>390</v>
      </c>
      <c r="C4">
        <v>29</v>
      </c>
      <c r="D4" t="s">
        <v>39</v>
      </c>
      <c r="E4">
        <v>82</v>
      </c>
      <c r="F4" t="s">
        <v>46</v>
      </c>
      <c r="G4">
        <v>4.9000000000000004</v>
      </c>
    </row>
    <row r="5" spans="1:10" hidden="1" outlineLevel="2" x14ac:dyDescent="0.3">
      <c r="A5">
        <v>578</v>
      </c>
      <c r="B5" t="s">
        <v>390</v>
      </c>
      <c r="C5">
        <v>29</v>
      </c>
      <c r="D5" t="s">
        <v>39</v>
      </c>
      <c r="E5">
        <v>153</v>
      </c>
      <c r="F5" t="s">
        <v>312</v>
      </c>
      <c r="G5">
        <v>3.74</v>
      </c>
    </row>
    <row r="6" spans="1:10" outlineLevel="1" collapsed="1" x14ac:dyDescent="0.3">
      <c r="B6" s="1" t="s">
        <v>766</v>
      </c>
      <c r="D6" t="str">
        <f>D5</f>
        <v>Female</v>
      </c>
      <c r="G6">
        <f>SUBTOTAL(9,G4:G5)</f>
        <v>8.64</v>
      </c>
      <c r="I6">
        <v>4.5599999999999996</v>
      </c>
      <c r="J6" t="s">
        <v>1344</v>
      </c>
    </row>
    <row r="7" spans="1:10" hidden="1" outlineLevel="2" x14ac:dyDescent="0.3">
      <c r="A7">
        <v>775</v>
      </c>
      <c r="B7" t="s">
        <v>762</v>
      </c>
      <c r="C7">
        <v>21</v>
      </c>
      <c r="D7" t="s">
        <v>39</v>
      </c>
      <c r="E7">
        <v>60</v>
      </c>
      <c r="F7" t="s">
        <v>110</v>
      </c>
      <c r="G7">
        <v>3.54</v>
      </c>
    </row>
    <row r="8" spans="1:10" outlineLevel="1" collapsed="1" x14ac:dyDescent="0.3">
      <c r="B8" s="1" t="s">
        <v>767</v>
      </c>
      <c r="D8" t="str">
        <f>D7</f>
        <v>Female</v>
      </c>
      <c r="G8">
        <f>SUBTOTAL(9,G7:G7)</f>
        <v>3.54</v>
      </c>
    </row>
    <row r="9" spans="1:10" hidden="1" outlineLevel="2" x14ac:dyDescent="0.3">
      <c r="A9">
        <v>516</v>
      </c>
      <c r="B9" t="s">
        <v>603</v>
      </c>
      <c r="C9">
        <v>39</v>
      </c>
      <c r="D9" t="s">
        <v>39</v>
      </c>
      <c r="E9">
        <v>35</v>
      </c>
      <c r="F9" t="s">
        <v>411</v>
      </c>
      <c r="G9">
        <v>3.45</v>
      </c>
    </row>
    <row r="10" spans="1:10" outlineLevel="1" collapsed="1" x14ac:dyDescent="0.3">
      <c r="B10" s="1" t="s">
        <v>768</v>
      </c>
      <c r="D10" t="str">
        <f>D9</f>
        <v>Female</v>
      </c>
      <c r="G10">
        <f>SUBTOTAL(9,G9:G9)</f>
        <v>3.45</v>
      </c>
    </row>
    <row r="11" spans="1:10" hidden="1" outlineLevel="2" x14ac:dyDescent="0.3">
      <c r="A11">
        <v>429</v>
      </c>
      <c r="B11" t="s">
        <v>534</v>
      </c>
      <c r="C11">
        <v>22</v>
      </c>
      <c r="D11" t="s">
        <v>39</v>
      </c>
      <c r="E11">
        <v>179</v>
      </c>
      <c r="F11" t="s">
        <v>72</v>
      </c>
      <c r="G11">
        <v>4.4800000000000004</v>
      </c>
    </row>
    <row r="12" spans="1:10" outlineLevel="1" collapsed="1" x14ac:dyDescent="0.3">
      <c r="B12" s="1" t="s">
        <v>769</v>
      </c>
      <c r="D12" t="str">
        <f>D11</f>
        <v>Female</v>
      </c>
      <c r="G12">
        <f>SUBTOTAL(9,G11:G11)</f>
        <v>4.4800000000000004</v>
      </c>
    </row>
    <row r="13" spans="1:10" hidden="1" outlineLevel="2" x14ac:dyDescent="0.3">
      <c r="A13">
        <v>155</v>
      </c>
      <c r="B13" t="s">
        <v>253</v>
      </c>
      <c r="C13">
        <v>10</v>
      </c>
      <c r="D13" t="s">
        <v>39</v>
      </c>
      <c r="E13">
        <v>98</v>
      </c>
      <c r="F13" t="s">
        <v>40</v>
      </c>
      <c r="G13">
        <v>2.89</v>
      </c>
    </row>
    <row r="14" spans="1:10" outlineLevel="1" collapsed="1" x14ac:dyDescent="0.3">
      <c r="B14" s="1" t="s">
        <v>770</v>
      </c>
      <c r="D14" t="str">
        <f>D13</f>
        <v>Female</v>
      </c>
      <c r="G14">
        <f>SUBTOTAL(9,G13:G13)</f>
        <v>2.89</v>
      </c>
    </row>
    <row r="15" spans="1:10" hidden="1" outlineLevel="2" x14ac:dyDescent="0.3">
      <c r="A15">
        <v>440</v>
      </c>
      <c r="B15" t="s">
        <v>543</v>
      </c>
      <c r="C15">
        <v>29</v>
      </c>
      <c r="D15" t="s">
        <v>39</v>
      </c>
      <c r="E15">
        <v>75</v>
      </c>
      <c r="F15" t="s">
        <v>218</v>
      </c>
      <c r="G15">
        <v>2.42</v>
      </c>
    </row>
    <row r="16" spans="1:10" hidden="1" outlineLevel="2" x14ac:dyDescent="0.3">
      <c r="A16">
        <v>618</v>
      </c>
      <c r="B16" t="s">
        <v>543</v>
      </c>
      <c r="C16">
        <v>29</v>
      </c>
      <c r="D16" t="s">
        <v>39</v>
      </c>
      <c r="E16">
        <v>183</v>
      </c>
      <c r="F16" t="s">
        <v>265</v>
      </c>
      <c r="G16">
        <v>1.0900000000000001</v>
      </c>
    </row>
    <row r="17" spans="1:7" outlineLevel="1" collapsed="1" x14ac:dyDescent="0.3">
      <c r="B17" s="1" t="s">
        <v>771</v>
      </c>
      <c r="D17" t="str">
        <f>D16</f>
        <v>Female</v>
      </c>
      <c r="G17">
        <f>SUBTOTAL(9,G15:G16)</f>
        <v>3.51</v>
      </c>
    </row>
    <row r="18" spans="1:7" hidden="1" outlineLevel="2" x14ac:dyDescent="0.3">
      <c r="A18">
        <v>666</v>
      </c>
      <c r="B18" t="s">
        <v>698</v>
      </c>
      <c r="C18">
        <v>20</v>
      </c>
      <c r="D18" t="s">
        <v>39</v>
      </c>
      <c r="E18">
        <v>82</v>
      </c>
      <c r="F18" t="s">
        <v>46</v>
      </c>
      <c r="G18">
        <v>4.9000000000000004</v>
      </c>
    </row>
    <row r="19" spans="1:7" outlineLevel="1" collapsed="1" x14ac:dyDescent="0.3">
      <c r="B19" s="1" t="s">
        <v>772</v>
      </c>
      <c r="D19" t="str">
        <f>D18</f>
        <v>Female</v>
      </c>
      <c r="G19">
        <f>SUBTOTAL(9,G18:G18)</f>
        <v>4.9000000000000004</v>
      </c>
    </row>
    <row r="20" spans="1:7" hidden="1" outlineLevel="2" x14ac:dyDescent="0.3">
      <c r="A20">
        <v>41</v>
      </c>
      <c r="B20" t="s">
        <v>89</v>
      </c>
      <c r="C20">
        <v>20</v>
      </c>
      <c r="D20" t="s">
        <v>39</v>
      </c>
      <c r="E20">
        <v>7</v>
      </c>
      <c r="F20" t="s">
        <v>90</v>
      </c>
      <c r="G20">
        <v>1.33</v>
      </c>
    </row>
    <row r="21" spans="1:7" outlineLevel="1" collapsed="1" x14ac:dyDescent="0.3">
      <c r="B21" s="1" t="s">
        <v>773</v>
      </c>
      <c r="D21" t="str">
        <f>D20</f>
        <v>Female</v>
      </c>
      <c r="G21">
        <f>SUBTOTAL(9,G20:G20)</f>
        <v>1.33</v>
      </c>
    </row>
    <row r="22" spans="1:7" hidden="1" outlineLevel="2" x14ac:dyDescent="0.3">
      <c r="A22">
        <v>178</v>
      </c>
      <c r="B22" t="s">
        <v>284</v>
      </c>
      <c r="C22">
        <v>20</v>
      </c>
      <c r="D22" t="s">
        <v>39</v>
      </c>
      <c r="E22">
        <v>57</v>
      </c>
      <c r="F22" t="s">
        <v>50</v>
      </c>
      <c r="G22">
        <v>4.5999999999999996</v>
      </c>
    </row>
    <row r="23" spans="1:7" hidden="1" outlineLevel="2" x14ac:dyDescent="0.3">
      <c r="A23">
        <v>569</v>
      </c>
      <c r="B23" t="s">
        <v>284</v>
      </c>
      <c r="C23">
        <v>20</v>
      </c>
      <c r="D23" t="s">
        <v>39</v>
      </c>
      <c r="E23">
        <v>87</v>
      </c>
      <c r="F23" t="s">
        <v>210</v>
      </c>
      <c r="G23">
        <v>4.43</v>
      </c>
    </row>
    <row r="24" spans="1:7" outlineLevel="1" collapsed="1" x14ac:dyDescent="0.3">
      <c r="B24" s="1" t="s">
        <v>774</v>
      </c>
      <c r="D24" t="str">
        <f>D23</f>
        <v>Female</v>
      </c>
      <c r="G24">
        <f>SUBTOTAL(9,G22:G23)</f>
        <v>9.0299999999999994</v>
      </c>
    </row>
    <row r="25" spans="1:7" hidden="1" outlineLevel="2" x14ac:dyDescent="0.3">
      <c r="A25">
        <v>92</v>
      </c>
      <c r="B25" t="s">
        <v>170</v>
      </c>
      <c r="C25">
        <v>21</v>
      </c>
      <c r="D25" t="s">
        <v>39</v>
      </c>
      <c r="E25">
        <v>39</v>
      </c>
      <c r="F25" t="s">
        <v>171</v>
      </c>
      <c r="G25">
        <v>3.94</v>
      </c>
    </row>
    <row r="26" spans="1:7" outlineLevel="1" collapsed="1" x14ac:dyDescent="0.3">
      <c r="B26" s="1" t="s">
        <v>775</v>
      </c>
      <c r="D26" t="str">
        <f>D25</f>
        <v>Female</v>
      </c>
      <c r="G26">
        <f>SUBTOTAL(9,G25:G25)</f>
        <v>3.94</v>
      </c>
    </row>
    <row r="27" spans="1:7" hidden="1" outlineLevel="2" x14ac:dyDescent="0.3">
      <c r="A27">
        <v>653</v>
      </c>
      <c r="B27" t="s">
        <v>688</v>
      </c>
      <c r="C27">
        <v>32</v>
      </c>
      <c r="D27" t="s">
        <v>39</v>
      </c>
      <c r="E27">
        <v>53</v>
      </c>
      <c r="F27" t="s">
        <v>80</v>
      </c>
      <c r="G27">
        <v>2.0499999999999998</v>
      </c>
    </row>
    <row r="28" spans="1:7" outlineLevel="1" collapsed="1" x14ac:dyDescent="0.3">
      <c r="B28" s="1" t="s">
        <v>776</v>
      </c>
      <c r="D28" t="str">
        <f>D27</f>
        <v>Female</v>
      </c>
      <c r="G28">
        <f>SUBTOTAL(9,G27:G27)</f>
        <v>2.0499999999999998</v>
      </c>
    </row>
    <row r="29" spans="1:7" hidden="1" outlineLevel="2" x14ac:dyDescent="0.3">
      <c r="A29">
        <v>347</v>
      </c>
      <c r="B29" t="s">
        <v>464</v>
      </c>
      <c r="C29">
        <v>23</v>
      </c>
      <c r="D29" t="s">
        <v>39</v>
      </c>
      <c r="E29">
        <v>11</v>
      </c>
      <c r="F29" t="s">
        <v>298</v>
      </c>
      <c r="G29">
        <v>3.65</v>
      </c>
    </row>
    <row r="30" spans="1:7" hidden="1" outlineLevel="2" x14ac:dyDescent="0.3">
      <c r="A30">
        <v>504</v>
      </c>
      <c r="B30" t="s">
        <v>464</v>
      </c>
      <c r="C30">
        <v>23</v>
      </c>
      <c r="D30" t="s">
        <v>39</v>
      </c>
      <c r="E30">
        <v>82</v>
      </c>
      <c r="F30" t="s">
        <v>46</v>
      </c>
      <c r="G30">
        <v>4.9000000000000004</v>
      </c>
    </row>
    <row r="31" spans="1:7" outlineLevel="1" collapsed="1" x14ac:dyDescent="0.3">
      <c r="B31" s="1" t="s">
        <v>777</v>
      </c>
      <c r="D31" t="str">
        <f>D30</f>
        <v>Female</v>
      </c>
      <c r="G31">
        <f>SUBTOTAL(9,G29:G30)</f>
        <v>8.5500000000000007</v>
      </c>
    </row>
    <row r="32" spans="1:7" hidden="1" outlineLevel="2" x14ac:dyDescent="0.3">
      <c r="A32">
        <v>384</v>
      </c>
      <c r="B32" t="s">
        <v>497</v>
      </c>
      <c r="C32">
        <v>21</v>
      </c>
      <c r="D32" t="s">
        <v>39</v>
      </c>
      <c r="E32">
        <v>110</v>
      </c>
      <c r="F32" t="s">
        <v>105</v>
      </c>
      <c r="G32">
        <v>1.44</v>
      </c>
    </row>
    <row r="33" spans="1:7" hidden="1" outlineLevel="2" x14ac:dyDescent="0.3">
      <c r="A33">
        <v>404</v>
      </c>
      <c r="B33" t="s">
        <v>497</v>
      </c>
      <c r="C33">
        <v>21</v>
      </c>
      <c r="D33" t="s">
        <v>39</v>
      </c>
      <c r="E33">
        <v>71</v>
      </c>
      <c r="F33" t="s">
        <v>62</v>
      </c>
      <c r="G33">
        <v>1.61</v>
      </c>
    </row>
    <row r="34" spans="1:7" outlineLevel="1" collapsed="1" x14ac:dyDescent="0.3">
      <c r="B34" s="1" t="s">
        <v>778</v>
      </c>
      <c r="D34" t="str">
        <f>D33</f>
        <v>Female</v>
      </c>
      <c r="G34">
        <f>SUBTOTAL(9,G32:G33)</f>
        <v>3.05</v>
      </c>
    </row>
    <row r="35" spans="1:7" hidden="1" outlineLevel="2" x14ac:dyDescent="0.3">
      <c r="A35">
        <v>222</v>
      </c>
      <c r="B35" t="s">
        <v>337</v>
      </c>
      <c r="C35">
        <v>22</v>
      </c>
      <c r="D35" t="s">
        <v>39</v>
      </c>
      <c r="E35">
        <v>178</v>
      </c>
      <c r="F35" t="s">
        <v>60</v>
      </c>
      <c r="G35">
        <v>4.2300000000000004</v>
      </c>
    </row>
    <row r="36" spans="1:7" hidden="1" outlineLevel="2" x14ac:dyDescent="0.3">
      <c r="A36">
        <v>520</v>
      </c>
      <c r="B36" t="s">
        <v>337</v>
      </c>
      <c r="C36">
        <v>22</v>
      </c>
      <c r="D36" t="s">
        <v>39</v>
      </c>
      <c r="E36">
        <v>109</v>
      </c>
      <c r="F36" t="s">
        <v>183</v>
      </c>
      <c r="G36">
        <v>4.76</v>
      </c>
    </row>
    <row r="37" spans="1:7" hidden="1" outlineLevel="2" x14ac:dyDescent="0.3">
      <c r="A37">
        <v>564</v>
      </c>
      <c r="B37" t="s">
        <v>337</v>
      </c>
      <c r="C37">
        <v>22</v>
      </c>
      <c r="D37" t="s">
        <v>39</v>
      </c>
      <c r="E37">
        <v>52</v>
      </c>
      <c r="F37" t="s">
        <v>415</v>
      </c>
      <c r="G37">
        <v>4.84</v>
      </c>
    </row>
    <row r="38" spans="1:7" outlineLevel="1" collapsed="1" x14ac:dyDescent="0.3">
      <c r="B38" s="1" t="s">
        <v>779</v>
      </c>
      <c r="D38" t="str">
        <f>D37</f>
        <v>Female</v>
      </c>
      <c r="G38">
        <f>SUBTOTAL(9,G35:G37)</f>
        <v>13.83</v>
      </c>
    </row>
    <row r="39" spans="1:7" hidden="1" outlineLevel="2" x14ac:dyDescent="0.3">
      <c r="A39">
        <v>66</v>
      </c>
      <c r="B39" t="s">
        <v>133</v>
      </c>
      <c r="C39">
        <v>21</v>
      </c>
      <c r="D39" t="s">
        <v>39</v>
      </c>
      <c r="E39">
        <v>6</v>
      </c>
      <c r="F39" t="s">
        <v>134</v>
      </c>
      <c r="G39">
        <v>3.7</v>
      </c>
    </row>
    <row r="40" spans="1:7" outlineLevel="1" collapsed="1" x14ac:dyDescent="0.3">
      <c r="B40" s="1" t="s">
        <v>780</v>
      </c>
      <c r="D40" t="str">
        <f>D39</f>
        <v>Female</v>
      </c>
      <c r="G40">
        <f>SUBTOTAL(9,G39:G39)</f>
        <v>3.7</v>
      </c>
    </row>
    <row r="41" spans="1:7" hidden="1" outlineLevel="2" x14ac:dyDescent="0.3">
      <c r="A41">
        <v>586</v>
      </c>
      <c r="B41" t="s">
        <v>649</v>
      </c>
      <c r="C41">
        <v>23</v>
      </c>
      <c r="D41" t="s">
        <v>39</v>
      </c>
      <c r="E41">
        <v>155</v>
      </c>
      <c r="F41" t="s">
        <v>399</v>
      </c>
      <c r="G41">
        <v>1.01</v>
      </c>
    </row>
    <row r="42" spans="1:7" outlineLevel="1" collapsed="1" x14ac:dyDescent="0.3">
      <c r="B42" s="1" t="s">
        <v>781</v>
      </c>
      <c r="D42" t="str">
        <f>D41</f>
        <v>Female</v>
      </c>
      <c r="G42">
        <f>SUBTOTAL(9,G41:G41)</f>
        <v>1.01</v>
      </c>
    </row>
    <row r="43" spans="1:7" hidden="1" outlineLevel="2" x14ac:dyDescent="0.3">
      <c r="A43">
        <v>448</v>
      </c>
      <c r="B43" t="s">
        <v>548</v>
      </c>
      <c r="C43">
        <v>18</v>
      </c>
      <c r="D43" t="s">
        <v>39</v>
      </c>
      <c r="E43">
        <v>68</v>
      </c>
      <c r="F43" t="s">
        <v>143</v>
      </c>
      <c r="G43">
        <v>4.32</v>
      </c>
    </row>
    <row r="44" spans="1:7" outlineLevel="1" collapsed="1" x14ac:dyDescent="0.3">
      <c r="B44" s="1" t="s">
        <v>782</v>
      </c>
      <c r="D44" t="str">
        <f>D43</f>
        <v>Female</v>
      </c>
      <c r="G44">
        <f>SUBTOTAL(9,G43:G43)</f>
        <v>4.32</v>
      </c>
    </row>
    <row r="45" spans="1:7" hidden="1" outlineLevel="2" x14ac:dyDescent="0.3">
      <c r="A45">
        <v>446</v>
      </c>
      <c r="B45" t="s">
        <v>547</v>
      </c>
      <c r="C45">
        <v>7</v>
      </c>
      <c r="D45" t="s">
        <v>39</v>
      </c>
      <c r="E45">
        <v>119</v>
      </c>
      <c r="F45" t="s">
        <v>66</v>
      </c>
      <c r="G45">
        <v>4.32</v>
      </c>
    </row>
    <row r="46" spans="1:7" outlineLevel="1" collapsed="1" x14ac:dyDescent="0.3">
      <c r="B46" s="1" t="s">
        <v>783</v>
      </c>
      <c r="D46" t="str">
        <f>D45</f>
        <v>Female</v>
      </c>
      <c r="G46">
        <f>SUBTOTAL(9,G45:G45)</f>
        <v>4.32</v>
      </c>
    </row>
    <row r="47" spans="1:7" hidden="1" outlineLevel="2" x14ac:dyDescent="0.3">
      <c r="A47">
        <v>485</v>
      </c>
      <c r="B47" t="s">
        <v>580</v>
      </c>
      <c r="C47">
        <v>26</v>
      </c>
      <c r="D47" t="s">
        <v>39</v>
      </c>
      <c r="E47">
        <v>94</v>
      </c>
      <c r="F47" t="s">
        <v>373</v>
      </c>
      <c r="G47">
        <v>3.49</v>
      </c>
    </row>
    <row r="48" spans="1:7" outlineLevel="1" collapsed="1" x14ac:dyDescent="0.3">
      <c r="B48" s="1" t="s">
        <v>784</v>
      </c>
      <c r="D48" t="str">
        <f>D47</f>
        <v>Female</v>
      </c>
      <c r="G48">
        <f>SUBTOTAL(9,G47:G47)</f>
        <v>3.49</v>
      </c>
    </row>
    <row r="49" spans="1:7" hidden="1" outlineLevel="2" x14ac:dyDescent="0.3">
      <c r="A49">
        <v>451</v>
      </c>
      <c r="B49" t="s">
        <v>551</v>
      </c>
      <c r="C49">
        <v>15</v>
      </c>
      <c r="D49" t="s">
        <v>39</v>
      </c>
      <c r="E49">
        <v>122</v>
      </c>
      <c r="F49" t="s">
        <v>552</v>
      </c>
      <c r="G49">
        <v>2.85</v>
      </c>
    </row>
    <row r="50" spans="1:7" outlineLevel="1" collapsed="1" x14ac:dyDescent="0.3">
      <c r="B50" s="1" t="s">
        <v>785</v>
      </c>
      <c r="D50" t="str">
        <f>D49</f>
        <v>Female</v>
      </c>
      <c r="G50">
        <f>SUBTOTAL(9,G49:G49)</f>
        <v>2.85</v>
      </c>
    </row>
    <row r="51" spans="1:7" hidden="1" outlineLevel="2" x14ac:dyDescent="0.3">
      <c r="A51">
        <v>731</v>
      </c>
      <c r="B51" t="s">
        <v>738</v>
      </c>
      <c r="C51">
        <v>22</v>
      </c>
      <c r="D51" t="s">
        <v>39</v>
      </c>
      <c r="E51">
        <v>12</v>
      </c>
      <c r="F51" t="s">
        <v>158</v>
      </c>
      <c r="G51">
        <v>1.02</v>
      </c>
    </row>
    <row r="52" spans="1:7" outlineLevel="1" collapsed="1" x14ac:dyDescent="0.3">
      <c r="B52" s="1" t="s">
        <v>786</v>
      </c>
      <c r="D52" t="str">
        <f>D51</f>
        <v>Female</v>
      </c>
      <c r="G52">
        <f>SUBTOTAL(9,G51:G51)</f>
        <v>1.02</v>
      </c>
    </row>
    <row r="53" spans="1:7" hidden="1" outlineLevel="2" x14ac:dyDescent="0.3">
      <c r="A53">
        <v>422</v>
      </c>
      <c r="B53" t="s">
        <v>528</v>
      </c>
      <c r="C53">
        <v>24</v>
      </c>
      <c r="D53" t="s">
        <v>39</v>
      </c>
      <c r="E53">
        <v>154</v>
      </c>
      <c r="F53" t="s">
        <v>290</v>
      </c>
      <c r="G53">
        <v>4.4000000000000004</v>
      </c>
    </row>
    <row r="54" spans="1:7" hidden="1" outlineLevel="2" x14ac:dyDescent="0.3">
      <c r="A54">
        <v>519</v>
      </c>
      <c r="B54" t="s">
        <v>528</v>
      </c>
      <c r="C54">
        <v>24</v>
      </c>
      <c r="D54" t="s">
        <v>39</v>
      </c>
      <c r="E54">
        <v>140</v>
      </c>
      <c r="F54" t="s">
        <v>70</v>
      </c>
      <c r="G54">
        <v>2.94</v>
      </c>
    </row>
    <row r="55" spans="1:7" outlineLevel="1" collapsed="1" x14ac:dyDescent="0.3">
      <c r="B55" s="1" t="s">
        <v>787</v>
      </c>
      <c r="D55" t="str">
        <f>D54</f>
        <v>Female</v>
      </c>
      <c r="G55">
        <f>SUBTOTAL(9,G53:G54)</f>
        <v>7.34</v>
      </c>
    </row>
    <row r="56" spans="1:7" hidden="1" outlineLevel="2" x14ac:dyDescent="0.3">
      <c r="A56">
        <v>117</v>
      </c>
      <c r="B56" t="s">
        <v>206</v>
      </c>
      <c r="C56">
        <v>21</v>
      </c>
      <c r="D56" t="s">
        <v>39</v>
      </c>
      <c r="E56">
        <v>117</v>
      </c>
      <c r="F56" t="s">
        <v>207</v>
      </c>
      <c r="G56">
        <v>1.79</v>
      </c>
    </row>
    <row r="57" spans="1:7" outlineLevel="1" collapsed="1" x14ac:dyDescent="0.3">
      <c r="B57" s="1" t="s">
        <v>788</v>
      </c>
      <c r="D57" t="str">
        <f>D56</f>
        <v>Female</v>
      </c>
      <c r="G57">
        <f>SUBTOTAL(9,G56:G56)</f>
        <v>1.79</v>
      </c>
    </row>
    <row r="58" spans="1:7" hidden="1" outlineLevel="2" x14ac:dyDescent="0.3">
      <c r="A58">
        <v>119</v>
      </c>
      <c r="B58" t="s">
        <v>209</v>
      </c>
      <c r="C58">
        <v>15</v>
      </c>
      <c r="D58" t="s">
        <v>39</v>
      </c>
      <c r="E58">
        <v>87</v>
      </c>
      <c r="F58" t="s">
        <v>210</v>
      </c>
      <c r="G58">
        <v>4.43</v>
      </c>
    </row>
    <row r="59" spans="1:7" outlineLevel="1" collapsed="1" x14ac:dyDescent="0.3">
      <c r="B59" s="1" t="s">
        <v>789</v>
      </c>
      <c r="D59" t="str">
        <f>D58</f>
        <v>Female</v>
      </c>
      <c r="G59">
        <f>SUBTOTAL(9,G58:G58)</f>
        <v>4.43</v>
      </c>
    </row>
    <row r="60" spans="1:7" hidden="1" outlineLevel="2" x14ac:dyDescent="0.3">
      <c r="A60">
        <v>437</v>
      </c>
      <c r="B60" t="s">
        <v>540</v>
      </c>
      <c r="C60">
        <v>24</v>
      </c>
      <c r="D60" t="s">
        <v>39</v>
      </c>
      <c r="E60">
        <v>43</v>
      </c>
      <c r="F60" t="s">
        <v>481</v>
      </c>
      <c r="G60">
        <v>3.54</v>
      </c>
    </row>
    <row r="61" spans="1:7" outlineLevel="1" collapsed="1" x14ac:dyDescent="0.3">
      <c r="B61" s="1" t="s">
        <v>790</v>
      </c>
      <c r="D61" t="str">
        <f>D60</f>
        <v>Female</v>
      </c>
      <c r="G61">
        <f>SUBTOTAL(9,G60:G60)</f>
        <v>3.54</v>
      </c>
    </row>
    <row r="62" spans="1:7" hidden="1" outlineLevel="2" x14ac:dyDescent="0.3">
      <c r="A62">
        <v>206</v>
      </c>
      <c r="B62" t="s">
        <v>321</v>
      </c>
      <c r="C62">
        <v>20</v>
      </c>
      <c r="D62" t="s">
        <v>39</v>
      </c>
      <c r="E62">
        <v>78</v>
      </c>
      <c r="F62" t="s">
        <v>208</v>
      </c>
      <c r="G62">
        <v>4.4000000000000004</v>
      </c>
    </row>
    <row r="63" spans="1:7" outlineLevel="1" collapsed="1" x14ac:dyDescent="0.3">
      <c r="B63" s="1" t="s">
        <v>791</v>
      </c>
      <c r="D63" t="str">
        <f>D62</f>
        <v>Female</v>
      </c>
      <c r="G63">
        <f>SUBTOTAL(9,G62:G62)</f>
        <v>4.4000000000000004</v>
      </c>
    </row>
    <row r="64" spans="1:7" hidden="1" outlineLevel="2" x14ac:dyDescent="0.3">
      <c r="A64">
        <v>71</v>
      </c>
      <c r="B64" t="s">
        <v>139</v>
      </c>
      <c r="C64">
        <v>20</v>
      </c>
      <c r="D64" t="s">
        <v>39</v>
      </c>
      <c r="E64">
        <v>29</v>
      </c>
      <c r="F64" t="s">
        <v>140</v>
      </c>
      <c r="G64">
        <v>1.98</v>
      </c>
    </row>
    <row r="65" spans="1:7" hidden="1" outlineLevel="2" x14ac:dyDescent="0.3">
      <c r="A65">
        <v>140</v>
      </c>
      <c r="B65" t="s">
        <v>139</v>
      </c>
      <c r="C65">
        <v>20</v>
      </c>
      <c r="D65" t="s">
        <v>39</v>
      </c>
      <c r="E65">
        <v>8</v>
      </c>
      <c r="F65" t="s">
        <v>237</v>
      </c>
      <c r="G65">
        <v>3.93</v>
      </c>
    </row>
    <row r="66" spans="1:7" outlineLevel="1" collapsed="1" x14ac:dyDescent="0.3">
      <c r="B66" s="1" t="s">
        <v>792</v>
      </c>
      <c r="D66" t="str">
        <f>D65</f>
        <v>Female</v>
      </c>
      <c r="G66">
        <f>SUBTOTAL(9,G64:G65)</f>
        <v>5.91</v>
      </c>
    </row>
    <row r="67" spans="1:7" hidden="1" outlineLevel="2" x14ac:dyDescent="0.3">
      <c r="A67">
        <v>169</v>
      </c>
      <c r="B67" t="s">
        <v>270</v>
      </c>
      <c r="C67">
        <v>16</v>
      </c>
      <c r="D67" t="s">
        <v>39</v>
      </c>
      <c r="E67">
        <v>123</v>
      </c>
      <c r="F67" t="s">
        <v>271</v>
      </c>
      <c r="G67">
        <v>2.2799999999999998</v>
      </c>
    </row>
    <row r="68" spans="1:7" hidden="1" outlineLevel="2" x14ac:dyDescent="0.3">
      <c r="A68">
        <v>297</v>
      </c>
      <c r="B68" t="s">
        <v>270</v>
      </c>
      <c r="C68">
        <v>16</v>
      </c>
      <c r="D68" t="s">
        <v>39</v>
      </c>
      <c r="E68">
        <v>169</v>
      </c>
      <c r="F68" t="s">
        <v>21</v>
      </c>
      <c r="G68">
        <v>2.1800000000000002</v>
      </c>
    </row>
    <row r="69" spans="1:7" outlineLevel="1" collapsed="1" x14ac:dyDescent="0.3">
      <c r="B69" s="1" t="s">
        <v>793</v>
      </c>
      <c r="D69" t="str">
        <f>D68</f>
        <v>Female</v>
      </c>
      <c r="G69">
        <f>SUBTOTAL(9,G67:G68)</f>
        <v>4.46</v>
      </c>
    </row>
    <row r="70" spans="1:7" hidden="1" outlineLevel="2" x14ac:dyDescent="0.3">
      <c r="A70">
        <v>81</v>
      </c>
      <c r="B70" t="s">
        <v>154</v>
      </c>
      <c r="C70">
        <v>8</v>
      </c>
      <c r="D70" t="s">
        <v>39</v>
      </c>
      <c r="E70">
        <v>174</v>
      </c>
      <c r="F70" t="s">
        <v>155</v>
      </c>
      <c r="G70">
        <v>3.47</v>
      </c>
    </row>
    <row r="71" spans="1:7" outlineLevel="1" collapsed="1" x14ac:dyDescent="0.3">
      <c r="B71" s="1" t="s">
        <v>794</v>
      </c>
      <c r="D71" t="str">
        <f>D70</f>
        <v>Female</v>
      </c>
      <c r="G71">
        <f>SUBTOTAL(9,G70:G70)</f>
        <v>3.47</v>
      </c>
    </row>
    <row r="72" spans="1:7" hidden="1" outlineLevel="2" x14ac:dyDescent="0.3">
      <c r="A72">
        <v>357</v>
      </c>
      <c r="B72" t="s">
        <v>472</v>
      </c>
      <c r="C72">
        <v>23</v>
      </c>
      <c r="D72" t="s">
        <v>39</v>
      </c>
      <c r="E72">
        <v>37</v>
      </c>
      <c r="F72" t="s">
        <v>68</v>
      </c>
      <c r="G72">
        <v>3.16</v>
      </c>
    </row>
    <row r="73" spans="1:7" hidden="1" outlineLevel="2" x14ac:dyDescent="0.3">
      <c r="A73">
        <v>369</v>
      </c>
      <c r="B73" t="s">
        <v>472</v>
      </c>
      <c r="C73">
        <v>23</v>
      </c>
      <c r="D73" t="s">
        <v>39</v>
      </c>
      <c r="E73">
        <v>137</v>
      </c>
      <c r="F73" t="s">
        <v>330</v>
      </c>
      <c r="G73">
        <v>3.39</v>
      </c>
    </row>
    <row r="74" spans="1:7" outlineLevel="1" collapsed="1" x14ac:dyDescent="0.3">
      <c r="B74" s="1" t="s">
        <v>795</v>
      </c>
      <c r="D74" t="str">
        <f>D73</f>
        <v>Female</v>
      </c>
      <c r="G74">
        <f>SUBTOTAL(9,G72:G73)</f>
        <v>6.5500000000000007</v>
      </c>
    </row>
    <row r="75" spans="1:7" hidden="1" outlineLevel="2" x14ac:dyDescent="0.3">
      <c r="A75">
        <v>402</v>
      </c>
      <c r="B75" t="s">
        <v>514</v>
      </c>
      <c r="C75">
        <v>23</v>
      </c>
      <c r="D75" t="s">
        <v>39</v>
      </c>
      <c r="E75">
        <v>129</v>
      </c>
      <c r="F75" t="s">
        <v>163</v>
      </c>
      <c r="G75">
        <v>1.54</v>
      </c>
    </row>
    <row r="76" spans="1:7" outlineLevel="1" collapsed="1" x14ac:dyDescent="0.3">
      <c r="B76" s="1" t="s">
        <v>796</v>
      </c>
      <c r="D76" t="str">
        <f>D75</f>
        <v>Female</v>
      </c>
      <c r="G76">
        <f>SUBTOTAL(9,G75:G75)</f>
        <v>1.54</v>
      </c>
    </row>
    <row r="77" spans="1:7" hidden="1" outlineLevel="2" x14ac:dyDescent="0.3">
      <c r="A77">
        <v>199</v>
      </c>
      <c r="B77" t="s">
        <v>313</v>
      </c>
      <c r="C77">
        <v>15</v>
      </c>
      <c r="D77" t="s">
        <v>39</v>
      </c>
      <c r="E77">
        <v>138</v>
      </c>
      <c r="F77" t="s">
        <v>103</v>
      </c>
      <c r="G77">
        <v>4.74</v>
      </c>
    </row>
    <row r="78" spans="1:7" hidden="1" outlineLevel="2" x14ac:dyDescent="0.3">
      <c r="A78">
        <v>215</v>
      </c>
      <c r="B78" t="s">
        <v>313</v>
      </c>
      <c r="C78">
        <v>15</v>
      </c>
      <c r="D78" t="s">
        <v>39</v>
      </c>
      <c r="E78">
        <v>40</v>
      </c>
      <c r="F78" t="s">
        <v>42</v>
      </c>
      <c r="G78">
        <v>2.52</v>
      </c>
    </row>
    <row r="79" spans="1:7" hidden="1" outlineLevel="2" x14ac:dyDescent="0.3">
      <c r="A79">
        <v>683</v>
      </c>
      <c r="B79" t="s">
        <v>313</v>
      </c>
      <c r="C79">
        <v>15</v>
      </c>
      <c r="D79" t="s">
        <v>39</v>
      </c>
      <c r="E79">
        <v>145</v>
      </c>
      <c r="F79" t="s">
        <v>227</v>
      </c>
      <c r="G79">
        <v>4.58</v>
      </c>
    </row>
    <row r="80" spans="1:7" outlineLevel="1" collapsed="1" x14ac:dyDescent="0.3">
      <c r="B80" s="1" t="s">
        <v>797</v>
      </c>
      <c r="D80" t="str">
        <f>D79</f>
        <v>Female</v>
      </c>
      <c r="G80">
        <f>SUBTOTAL(9,G77:G79)</f>
        <v>11.84</v>
      </c>
    </row>
    <row r="81" spans="1:7" hidden="1" outlineLevel="2" x14ac:dyDescent="0.3">
      <c r="A81">
        <v>333</v>
      </c>
      <c r="B81" t="s">
        <v>448</v>
      </c>
      <c r="C81">
        <v>17</v>
      </c>
      <c r="D81" t="s">
        <v>39</v>
      </c>
      <c r="E81">
        <v>114</v>
      </c>
      <c r="F81" t="s">
        <v>315</v>
      </c>
      <c r="G81">
        <v>3.82</v>
      </c>
    </row>
    <row r="82" spans="1:7" outlineLevel="1" collapsed="1" x14ac:dyDescent="0.3">
      <c r="B82" s="1" t="s">
        <v>798</v>
      </c>
      <c r="D82" t="str">
        <f>D81</f>
        <v>Female</v>
      </c>
      <c r="G82">
        <f>SUBTOTAL(9,G81:G81)</f>
        <v>3.82</v>
      </c>
    </row>
    <row r="83" spans="1:7" hidden="1" outlineLevel="2" x14ac:dyDescent="0.3">
      <c r="A83">
        <v>339</v>
      </c>
      <c r="B83" t="s">
        <v>456</v>
      </c>
      <c r="C83">
        <v>8</v>
      </c>
      <c r="D83" t="s">
        <v>39</v>
      </c>
      <c r="E83">
        <v>124</v>
      </c>
      <c r="F83" t="s">
        <v>146</v>
      </c>
      <c r="G83">
        <v>1.29</v>
      </c>
    </row>
    <row r="84" spans="1:7" hidden="1" outlineLevel="2" x14ac:dyDescent="0.3">
      <c r="A84">
        <v>767</v>
      </c>
      <c r="B84" t="s">
        <v>456</v>
      </c>
      <c r="C84">
        <v>8</v>
      </c>
      <c r="D84" t="s">
        <v>39</v>
      </c>
      <c r="E84">
        <v>92</v>
      </c>
      <c r="F84" t="s">
        <v>13</v>
      </c>
      <c r="G84">
        <v>4.88</v>
      </c>
    </row>
    <row r="85" spans="1:7" outlineLevel="1" collapsed="1" x14ac:dyDescent="0.3">
      <c r="B85" s="1" t="s">
        <v>799</v>
      </c>
      <c r="D85" t="str">
        <f>D84</f>
        <v>Female</v>
      </c>
      <c r="G85">
        <f>SUBTOTAL(9,G83:G84)</f>
        <v>6.17</v>
      </c>
    </row>
    <row r="86" spans="1:7" hidden="1" outlineLevel="2" x14ac:dyDescent="0.3">
      <c r="A86">
        <v>667</v>
      </c>
      <c r="B86" t="s">
        <v>699</v>
      </c>
      <c r="C86">
        <v>40</v>
      </c>
      <c r="D86" t="s">
        <v>39</v>
      </c>
      <c r="E86">
        <v>66</v>
      </c>
      <c r="F86" t="s">
        <v>347</v>
      </c>
      <c r="G86">
        <v>4.4000000000000004</v>
      </c>
    </row>
    <row r="87" spans="1:7" outlineLevel="1" collapsed="1" x14ac:dyDescent="0.3">
      <c r="B87" s="1" t="s">
        <v>800</v>
      </c>
      <c r="D87" t="str">
        <f>D86</f>
        <v>Female</v>
      </c>
      <c r="G87">
        <f>SUBTOTAL(9,G86:G86)</f>
        <v>4.4000000000000004</v>
      </c>
    </row>
    <row r="88" spans="1:7" hidden="1" outlineLevel="2" x14ac:dyDescent="0.3">
      <c r="A88">
        <v>112</v>
      </c>
      <c r="B88" t="s">
        <v>199</v>
      </c>
      <c r="C88">
        <v>21</v>
      </c>
      <c r="D88" t="s">
        <v>39</v>
      </c>
      <c r="E88">
        <v>7</v>
      </c>
      <c r="F88" t="s">
        <v>90</v>
      </c>
      <c r="G88">
        <v>1.33</v>
      </c>
    </row>
    <row r="89" spans="1:7" hidden="1" outlineLevel="2" x14ac:dyDescent="0.3">
      <c r="A89">
        <v>278</v>
      </c>
      <c r="B89" t="s">
        <v>199</v>
      </c>
      <c r="C89">
        <v>21</v>
      </c>
      <c r="D89" t="s">
        <v>39</v>
      </c>
      <c r="E89">
        <v>167</v>
      </c>
      <c r="F89" t="s">
        <v>394</v>
      </c>
      <c r="G89">
        <v>3.61</v>
      </c>
    </row>
    <row r="90" spans="1:7" outlineLevel="1" collapsed="1" x14ac:dyDescent="0.3">
      <c r="B90" s="1" t="s">
        <v>801</v>
      </c>
      <c r="D90" t="str">
        <f>D89</f>
        <v>Female</v>
      </c>
      <c r="G90">
        <f>SUBTOTAL(9,G88:G89)</f>
        <v>4.9399999999999995</v>
      </c>
    </row>
    <row r="91" spans="1:7" hidden="1" outlineLevel="2" x14ac:dyDescent="0.3">
      <c r="A91">
        <v>528</v>
      </c>
      <c r="B91" t="s">
        <v>611</v>
      </c>
      <c r="C91">
        <v>22</v>
      </c>
      <c r="D91" t="s">
        <v>39</v>
      </c>
      <c r="E91">
        <v>19</v>
      </c>
      <c r="F91" t="s">
        <v>358</v>
      </c>
      <c r="G91">
        <v>1.02</v>
      </c>
    </row>
    <row r="92" spans="1:7" outlineLevel="1" collapsed="1" x14ac:dyDescent="0.3">
      <c r="B92" s="1" t="s">
        <v>802</v>
      </c>
      <c r="D92" t="str">
        <f>D91</f>
        <v>Female</v>
      </c>
      <c r="G92">
        <f>SUBTOTAL(9,G91:G91)</f>
        <v>1.02</v>
      </c>
    </row>
    <row r="93" spans="1:7" hidden="1" outlineLevel="2" x14ac:dyDescent="0.3">
      <c r="A93">
        <v>84</v>
      </c>
      <c r="B93" t="s">
        <v>159</v>
      </c>
      <c r="C93">
        <v>21</v>
      </c>
      <c r="D93" t="s">
        <v>39</v>
      </c>
      <c r="E93">
        <v>34</v>
      </c>
      <c r="F93" t="s">
        <v>132</v>
      </c>
      <c r="G93">
        <v>2.2200000000000002</v>
      </c>
    </row>
    <row r="94" spans="1:7" outlineLevel="1" collapsed="1" x14ac:dyDescent="0.3">
      <c r="B94" s="1" t="s">
        <v>803</v>
      </c>
      <c r="D94" t="str">
        <f>D93</f>
        <v>Female</v>
      </c>
      <c r="G94">
        <f>SUBTOTAL(9,G93:G93)</f>
        <v>2.2200000000000002</v>
      </c>
    </row>
    <row r="95" spans="1:7" hidden="1" outlineLevel="2" x14ac:dyDescent="0.3">
      <c r="A95">
        <v>558</v>
      </c>
      <c r="B95" t="s">
        <v>632</v>
      </c>
      <c r="C95">
        <v>25</v>
      </c>
      <c r="D95" t="s">
        <v>39</v>
      </c>
      <c r="E95">
        <v>108</v>
      </c>
      <c r="F95" t="s">
        <v>9</v>
      </c>
      <c r="G95">
        <v>3.53</v>
      </c>
    </row>
    <row r="96" spans="1:7" hidden="1" outlineLevel="2" x14ac:dyDescent="0.3">
      <c r="A96">
        <v>588</v>
      </c>
      <c r="B96" t="s">
        <v>632</v>
      </c>
      <c r="C96">
        <v>25</v>
      </c>
      <c r="D96" t="s">
        <v>39</v>
      </c>
      <c r="E96">
        <v>15</v>
      </c>
      <c r="F96" t="s">
        <v>108</v>
      </c>
      <c r="G96">
        <v>2.96</v>
      </c>
    </row>
    <row r="97" spans="1:7" outlineLevel="1" collapsed="1" x14ac:dyDescent="0.3">
      <c r="B97" s="1" t="s">
        <v>804</v>
      </c>
      <c r="D97" t="str">
        <f>D96</f>
        <v>Female</v>
      </c>
      <c r="G97">
        <f>SUBTOTAL(9,G95:G96)</f>
        <v>6.49</v>
      </c>
    </row>
    <row r="98" spans="1:7" hidden="1" outlineLevel="2" x14ac:dyDescent="0.3">
      <c r="A98">
        <v>327</v>
      </c>
      <c r="B98" t="s">
        <v>442</v>
      </c>
      <c r="C98">
        <v>22</v>
      </c>
      <c r="D98" t="s">
        <v>39</v>
      </c>
      <c r="E98">
        <v>17</v>
      </c>
      <c r="F98" t="s">
        <v>166</v>
      </c>
      <c r="G98">
        <v>1.7</v>
      </c>
    </row>
    <row r="99" spans="1:7" outlineLevel="1" collapsed="1" x14ac:dyDescent="0.3">
      <c r="B99" s="1" t="s">
        <v>805</v>
      </c>
      <c r="D99" t="str">
        <f>D98</f>
        <v>Female</v>
      </c>
      <c r="G99">
        <f>SUBTOTAL(9,G98:G98)</f>
        <v>1.7</v>
      </c>
    </row>
    <row r="100" spans="1:7" hidden="1" outlineLevel="2" x14ac:dyDescent="0.3">
      <c r="A100">
        <v>427</v>
      </c>
      <c r="B100" t="s">
        <v>533</v>
      </c>
      <c r="C100">
        <v>24</v>
      </c>
      <c r="D100" t="s">
        <v>39</v>
      </c>
      <c r="E100">
        <v>170</v>
      </c>
      <c r="F100" t="s">
        <v>101</v>
      </c>
      <c r="G100">
        <v>3.97</v>
      </c>
    </row>
    <row r="101" spans="1:7" hidden="1" outlineLevel="2" x14ac:dyDescent="0.3">
      <c r="A101">
        <v>608</v>
      </c>
      <c r="B101" t="s">
        <v>533</v>
      </c>
      <c r="C101">
        <v>24</v>
      </c>
      <c r="D101" t="s">
        <v>39</v>
      </c>
      <c r="E101">
        <v>132</v>
      </c>
      <c r="F101" t="s">
        <v>58</v>
      </c>
      <c r="G101">
        <v>3.33</v>
      </c>
    </row>
    <row r="102" spans="1:7" outlineLevel="1" collapsed="1" x14ac:dyDescent="0.3">
      <c r="B102" s="1" t="s">
        <v>806</v>
      </c>
      <c r="D102" t="str">
        <f>D101</f>
        <v>Female</v>
      </c>
      <c r="G102">
        <f>SUBTOTAL(9,G100:G101)</f>
        <v>7.3000000000000007</v>
      </c>
    </row>
    <row r="103" spans="1:7" hidden="1" outlineLevel="2" x14ac:dyDescent="0.3">
      <c r="A103">
        <v>15</v>
      </c>
      <c r="B103" t="s">
        <v>38</v>
      </c>
      <c r="C103">
        <v>21</v>
      </c>
      <c r="D103" t="s">
        <v>39</v>
      </c>
      <c r="E103">
        <v>98</v>
      </c>
      <c r="F103" t="s">
        <v>40</v>
      </c>
      <c r="G103">
        <v>2.89</v>
      </c>
    </row>
    <row r="104" spans="1:7" outlineLevel="1" collapsed="1" x14ac:dyDescent="0.3">
      <c r="B104" s="1" t="s">
        <v>807</v>
      </c>
      <c r="D104" t="str">
        <f>D103</f>
        <v>Female</v>
      </c>
      <c r="G104">
        <f>SUBTOTAL(9,G103:G103)</f>
        <v>2.89</v>
      </c>
    </row>
    <row r="105" spans="1:7" hidden="1" outlineLevel="2" x14ac:dyDescent="0.3">
      <c r="A105">
        <v>641</v>
      </c>
      <c r="B105" t="s">
        <v>679</v>
      </c>
      <c r="C105">
        <v>20</v>
      </c>
      <c r="D105" t="s">
        <v>39</v>
      </c>
      <c r="E105">
        <v>49</v>
      </c>
      <c r="F105" t="s">
        <v>460</v>
      </c>
      <c r="G105">
        <v>2.96</v>
      </c>
    </row>
    <row r="106" spans="1:7" outlineLevel="1" collapsed="1" x14ac:dyDescent="0.3">
      <c r="B106" s="1" t="s">
        <v>808</v>
      </c>
      <c r="D106" t="str">
        <f>D105</f>
        <v>Female</v>
      </c>
      <c r="G106">
        <f>SUBTOTAL(9,G105:G105)</f>
        <v>2.96</v>
      </c>
    </row>
    <row r="107" spans="1:7" hidden="1" outlineLevel="2" x14ac:dyDescent="0.3">
      <c r="A107">
        <v>409</v>
      </c>
      <c r="B107" t="s">
        <v>518</v>
      </c>
      <c r="C107">
        <v>15</v>
      </c>
      <c r="D107" t="s">
        <v>39</v>
      </c>
      <c r="E107">
        <v>144</v>
      </c>
      <c r="F107" t="s">
        <v>278</v>
      </c>
      <c r="G107">
        <v>1.94</v>
      </c>
    </row>
    <row r="108" spans="1:7" outlineLevel="1" collapsed="1" x14ac:dyDescent="0.3">
      <c r="B108" s="1" t="s">
        <v>809</v>
      </c>
      <c r="D108" t="str">
        <f>D107</f>
        <v>Female</v>
      </c>
      <c r="G108">
        <f>SUBTOTAL(9,G107:G107)</f>
        <v>1.94</v>
      </c>
    </row>
    <row r="109" spans="1:7" hidden="1" outlineLevel="2" x14ac:dyDescent="0.3">
      <c r="A109">
        <v>196</v>
      </c>
      <c r="B109" t="s">
        <v>310</v>
      </c>
      <c r="C109">
        <v>35</v>
      </c>
      <c r="D109" t="s">
        <v>39</v>
      </c>
      <c r="E109">
        <v>9</v>
      </c>
      <c r="F109" t="s">
        <v>95</v>
      </c>
      <c r="G109">
        <v>2.73</v>
      </c>
    </row>
    <row r="110" spans="1:7" outlineLevel="1" collapsed="1" x14ac:dyDescent="0.3">
      <c r="B110" s="1" t="s">
        <v>810</v>
      </c>
      <c r="D110" t="str">
        <f>D109</f>
        <v>Female</v>
      </c>
      <c r="G110">
        <f>SUBTOTAL(9,G109:G109)</f>
        <v>2.73</v>
      </c>
    </row>
    <row r="111" spans="1:7" hidden="1" outlineLevel="2" x14ac:dyDescent="0.3">
      <c r="A111">
        <v>157</v>
      </c>
      <c r="B111" t="s">
        <v>254</v>
      </c>
      <c r="C111">
        <v>18</v>
      </c>
      <c r="D111" t="s">
        <v>39</v>
      </c>
      <c r="E111">
        <v>108</v>
      </c>
      <c r="F111" t="s">
        <v>9</v>
      </c>
      <c r="G111">
        <v>3.53</v>
      </c>
    </row>
    <row r="112" spans="1:7" outlineLevel="1" collapsed="1" x14ac:dyDescent="0.3">
      <c r="B112" s="1" t="s">
        <v>811</v>
      </c>
      <c r="D112" t="str">
        <f>D111</f>
        <v>Female</v>
      </c>
      <c r="G112">
        <f>SUBTOTAL(9,G111:G111)</f>
        <v>3.53</v>
      </c>
    </row>
    <row r="113" spans="1:7" hidden="1" outlineLevel="2" x14ac:dyDescent="0.3">
      <c r="A113">
        <v>72</v>
      </c>
      <c r="B113" t="s">
        <v>141</v>
      </c>
      <c r="C113">
        <v>25</v>
      </c>
      <c r="D113" t="s">
        <v>39</v>
      </c>
      <c r="E113">
        <v>178</v>
      </c>
      <c r="F113" t="s">
        <v>60</v>
      </c>
      <c r="G113">
        <v>4.2300000000000004</v>
      </c>
    </row>
    <row r="114" spans="1:7" hidden="1" outlineLevel="2" x14ac:dyDescent="0.3">
      <c r="A114">
        <v>579</v>
      </c>
      <c r="B114" t="s">
        <v>141</v>
      </c>
      <c r="C114">
        <v>25</v>
      </c>
      <c r="D114" t="s">
        <v>39</v>
      </c>
      <c r="E114">
        <v>12</v>
      </c>
      <c r="F114" t="s">
        <v>158</v>
      </c>
      <c r="G114">
        <v>1.02</v>
      </c>
    </row>
    <row r="115" spans="1:7" outlineLevel="1" collapsed="1" x14ac:dyDescent="0.3">
      <c r="B115" s="1" t="s">
        <v>812</v>
      </c>
      <c r="D115" t="str">
        <f>D114</f>
        <v>Female</v>
      </c>
      <c r="G115">
        <f>SUBTOTAL(9,G113:G114)</f>
        <v>5.25</v>
      </c>
    </row>
    <row r="116" spans="1:7" hidden="1" outlineLevel="2" x14ac:dyDescent="0.3">
      <c r="A116">
        <v>289</v>
      </c>
      <c r="B116" t="s">
        <v>408</v>
      </c>
      <c r="C116">
        <v>25</v>
      </c>
      <c r="D116" t="s">
        <v>39</v>
      </c>
      <c r="E116">
        <v>83</v>
      </c>
      <c r="F116" t="s">
        <v>363</v>
      </c>
      <c r="G116">
        <v>3.33</v>
      </c>
    </row>
    <row r="117" spans="1:7" hidden="1" outlineLevel="2" x14ac:dyDescent="0.3">
      <c r="A117">
        <v>418</v>
      </c>
      <c r="B117" t="s">
        <v>408</v>
      </c>
      <c r="C117">
        <v>25</v>
      </c>
      <c r="D117" t="s">
        <v>39</v>
      </c>
      <c r="E117">
        <v>125</v>
      </c>
      <c r="F117" t="s">
        <v>128</v>
      </c>
      <c r="G117">
        <v>1</v>
      </c>
    </row>
    <row r="118" spans="1:7" outlineLevel="1" collapsed="1" x14ac:dyDescent="0.3">
      <c r="B118" s="1" t="s">
        <v>813</v>
      </c>
      <c r="D118" t="str">
        <f>D117</f>
        <v>Female</v>
      </c>
      <c r="G118">
        <f>SUBTOTAL(9,G116:G117)</f>
        <v>4.33</v>
      </c>
    </row>
    <row r="119" spans="1:7" hidden="1" outlineLevel="2" x14ac:dyDescent="0.3">
      <c r="A119">
        <v>76</v>
      </c>
      <c r="B119" t="s">
        <v>147</v>
      </c>
      <c r="C119">
        <v>13</v>
      </c>
      <c r="D119" t="s">
        <v>39</v>
      </c>
      <c r="E119">
        <v>88</v>
      </c>
      <c r="F119" t="s">
        <v>148</v>
      </c>
      <c r="G119">
        <v>3.75</v>
      </c>
    </row>
    <row r="120" spans="1:7" outlineLevel="1" collapsed="1" x14ac:dyDescent="0.3">
      <c r="B120" s="1" t="s">
        <v>814</v>
      </c>
      <c r="D120" t="str">
        <f>D119</f>
        <v>Female</v>
      </c>
      <c r="G120">
        <f>SUBTOTAL(9,G119:G119)</f>
        <v>3.75</v>
      </c>
    </row>
    <row r="121" spans="1:7" hidden="1" outlineLevel="2" x14ac:dyDescent="0.3">
      <c r="A121">
        <v>306</v>
      </c>
      <c r="B121" t="s">
        <v>424</v>
      </c>
      <c r="C121">
        <v>24</v>
      </c>
      <c r="D121" t="s">
        <v>39</v>
      </c>
      <c r="E121">
        <v>38</v>
      </c>
      <c r="F121" t="s">
        <v>425</v>
      </c>
      <c r="G121">
        <v>2.37</v>
      </c>
    </row>
    <row r="122" spans="1:7" outlineLevel="1" collapsed="1" x14ac:dyDescent="0.3">
      <c r="B122" s="1" t="s">
        <v>815</v>
      </c>
      <c r="D122" t="str">
        <f>D121</f>
        <v>Female</v>
      </c>
      <c r="G122">
        <f>SUBTOTAL(9,G121:G121)</f>
        <v>2.37</v>
      </c>
    </row>
    <row r="123" spans="1:7" hidden="1" outlineLevel="2" x14ac:dyDescent="0.3">
      <c r="A123">
        <v>336</v>
      </c>
      <c r="B123" t="s">
        <v>452</v>
      </c>
      <c r="C123">
        <v>22</v>
      </c>
      <c r="D123" t="s">
        <v>39</v>
      </c>
      <c r="E123">
        <v>45</v>
      </c>
      <c r="F123" t="s">
        <v>453</v>
      </c>
      <c r="G123">
        <v>3.85</v>
      </c>
    </row>
    <row r="124" spans="1:7" outlineLevel="1" collapsed="1" x14ac:dyDescent="0.3">
      <c r="B124" s="1" t="s">
        <v>816</v>
      </c>
      <c r="D124" t="str">
        <f>D123</f>
        <v>Female</v>
      </c>
      <c r="G124">
        <f>SUBTOTAL(9,G123:G123)</f>
        <v>3.85</v>
      </c>
    </row>
    <row r="125" spans="1:7" hidden="1" outlineLevel="2" x14ac:dyDescent="0.3">
      <c r="A125">
        <v>55</v>
      </c>
      <c r="B125" t="s">
        <v>115</v>
      </c>
      <c r="C125">
        <v>25</v>
      </c>
      <c r="D125" t="s">
        <v>39</v>
      </c>
      <c r="E125">
        <v>84</v>
      </c>
      <c r="F125" t="s">
        <v>116</v>
      </c>
      <c r="G125">
        <v>3.79</v>
      </c>
    </row>
    <row r="126" spans="1:7" hidden="1" outlineLevel="2" x14ac:dyDescent="0.3">
      <c r="A126">
        <v>445</v>
      </c>
      <c r="B126" t="s">
        <v>115</v>
      </c>
      <c r="C126">
        <v>25</v>
      </c>
      <c r="D126" t="s">
        <v>39</v>
      </c>
      <c r="E126">
        <v>150</v>
      </c>
      <c r="F126" t="s">
        <v>202</v>
      </c>
      <c r="G126">
        <v>2.85</v>
      </c>
    </row>
    <row r="127" spans="1:7" outlineLevel="1" collapsed="1" x14ac:dyDescent="0.3">
      <c r="B127" s="1" t="s">
        <v>817</v>
      </c>
      <c r="D127" t="str">
        <f>D126</f>
        <v>Female</v>
      </c>
      <c r="G127">
        <f>SUBTOTAL(9,G125:G126)</f>
        <v>6.6400000000000006</v>
      </c>
    </row>
    <row r="128" spans="1:7" hidden="1" outlineLevel="2" x14ac:dyDescent="0.3">
      <c r="A128">
        <v>555</v>
      </c>
      <c r="B128" t="s">
        <v>630</v>
      </c>
      <c r="C128">
        <v>23</v>
      </c>
      <c r="D128" t="s">
        <v>39</v>
      </c>
      <c r="E128">
        <v>7</v>
      </c>
      <c r="F128" t="s">
        <v>90</v>
      </c>
      <c r="G128">
        <v>1.33</v>
      </c>
    </row>
    <row r="129" spans="1:7" hidden="1" outlineLevel="2" x14ac:dyDescent="0.3">
      <c r="A129">
        <v>754</v>
      </c>
      <c r="B129" t="s">
        <v>630</v>
      </c>
      <c r="C129">
        <v>23</v>
      </c>
      <c r="D129" t="s">
        <v>39</v>
      </c>
      <c r="E129">
        <v>79</v>
      </c>
      <c r="F129" t="s">
        <v>467</v>
      </c>
      <c r="G129">
        <v>4.05</v>
      </c>
    </row>
    <row r="130" spans="1:7" outlineLevel="1" collapsed="1" x14ac:dyDescent="0.3">
      <c r="B130" s="1" t="s">
        <v>818</v>
      </c>
      <c r="D130" t="str">
        <f>D129</f>
        <v>Female</v>
      </c>
      <c r="G130">
        <f>SUBTOTAL(9,G128:G129)</f>
        <v>5.38</v>
      </c>
    </row>
    <row r="131" spans="1:7" hidden="1" outlineLevel="2" x14ac:dyDescent="0.3">
      <c r="A131">
        <v>113</v>
      </c>
      <c r="B131" t="s">
        <v>200</v>
      </c>
      <c r="C131">
        <v>15</v>
      </c>
      <c r="D131" t="s">
        <v>39</v>
      </c>
      <c r="E131">
        <v>140</v>
      </c>
      <c r="F131" t="s">
        <v>70</v>
      </c>
      <c r="G131">
        <v>2.94</v>
      </c>
    </row>
    <row r="132" spans="1:7" hidden="1" outlineLevel="2" x14ac:dyDescent="0.3">
      <c r="A132">
        <v>134</v>
      </c>
      <c r="B132" t="s">
        <v>200</v>
      </c>
      <c r="C132">
        <v>15</v>
      </c>
      <c r="D132" t="s">
        <v>39</v>
      </c>
      <c r="E132">
        <v>2</v>
      </c>
      <c r="F132" t="s">
        <v>229</v>
      </c>
      <c r="G132">
        <v>2.48</v>
      </c>
    </row>
    <row r="133" spans="1:7" hidden="1" outlineLevel="2" x14ac:dyDescent="0.3">
      <c r="A133">
        <v>273</v>
      </c>
      <c r="B133" t="s">
        <v>200</v>
      </c>
      <c r="C133">
        <v>15</v>
      </c>
      <c r="D133" t="s">
        <v>39</v>
      </c>
      <c r="E133">
        <v>92</v>
      </c>
      <c r="F133" t="s">
        <v>13</v>
      </c>
      <c r="G133">
        <v>4.88</v>
      </c>
    </row>
    <row r="134" spans="1:7" outlineLevel="1" collapsed="1" x14ac:dyDescent="0.3">
      <c r="B134" s="1" t="s">
        <v>819</v>
      </c>
      <c r="D134" t="str">
        <f>D133</f>
        <v>Female</v>
      </c>
      <c r="G134">
        <f>SUBTOTAL(9,G131:G133)</f>
        <v>10.3</v>
      </c>
    </row>
    <row r="135" spans="1:7" hidden="1" outlineLevel="2" x14ac:dyDescent="0.3">
      <c r="A135">
        <v>613</v>
      </c>
      <c r="B135" t="s">
        <v>665</v>
      </c>
      <c r="C135">
        <v>21</v>
      </c>
      <c r="D135" t="s">
        <v>39</v>
      </c>
      <c r="E135">
        <v>159</v>
      </c>
      <c r="F135" t="s">
        <v>327</v>
      </c>
      <c r="G135">
        <v>3.08</v>
      </c>
    </row>
    <row r="136" spans="1:7" outlineLevel="1" collapsed="1" x14ac:dyDescent="0.3">
      <c r="B136" s="1" t="s">
        <v>820</v>
      </c>
      <c r="D136" t="str">
        <f>D135</f>
        <v>Female</v>
      </c>
      <c r="G136">
        <f>SUBTOTAL(9,G135:G135)</f>
        <v>3.08</v>
      </c>
    </row>
    <row r="137" spans="1:7" hidden="1" outlineLevel="2" x14ac:dyDescent="0.3">
      <c r="A137">
        <v>254</v>
      </c>
      <c r="B137" t="s">
        <v>372</v>
      </c>
      <c r="C137">
        <v>23</v>
      </c>
      <c r="D137" t="s">
        <v>39</v>
      </c>
      <c r="E137">
        <v>94</v>
      </c>
      <c r="F137" t="s">
        <v>373</v>
      </c>
      <c r="G137">
        <v>3.49</v>
      </c>
    </row>
    <row r="138" spans="1:7" outlineLevel="1" collapsed="1" x14ac:dyDescent="0.3">
      <c r="B138" s="1" t="s">
        <v>821</v>
      </c>
      <c r="D138" t="str">
        <f>D137</f>
        <v>Female</v>
      </c>
      <c r="G138">
        <f>SUBTOTAL(9,G137:G137)</f>
        <v>3.49</v>
      </c>
    </row>
    <row r="139" spans="1:7" hidden="1" outlineLevel="2" x14ac:dyDescent="0.3">
      <c r="A139">
        <v>658</v>
      </c>
      <c r="B139" t="s">
        <v>691</v>
      </c>
      <c r="C139">
        <v>7</v>
      </c>
      <c r="D139" t="s">
        <v>39</v>
      </c>
      <c r="E139">
        <v>178</v>
      </c>
      <c r="F139" t="s">
        <v>60</v>
      </c>
      <c r="G139">
        <v>4.2300000000000004</v>
      </c>
    </row>
    <row r="140" spans="1:7" outlineLevel="1" collapsed="1" x14ac:dyDescent="0.3">
      <c r="B140" s="1" t="s">
        <v>822</v>
      </c>
      <c r="D140" t="str">
        <f>D139</f>
        <v>Female</v>
      </c>
      <c r="G140">
        <f>SUBTOTAL(9,G139:G139)</f>
        <v>4.2300000000000004</v>
      </c>
    </row>
    <row r="141" spans="1:7" hidden="1" outlineLevel="2" x14ac:dyDescent="0.3">
      <c r="A141">
        <v>38</v>
      </c>
      <c r="B141" t="s">
        <v>85</v>
      </c>
      <c r="C141">
        <v>10</v>
      </c>
      <c r="D141" t="s">
        <v>39</v>
      </c>
      <c r="E141">
        <v>116</v>
      </c>
      <c r="F141" t="s">
        <v>33</v>
      </c>
      <c r="G141">
        <v>4.18</v>
      </c>
    </row>
    <row r="142" spans="1:7" outlineLevel="1" collapsed="1" x14ac:dyDescent="0.3">
      <c r="B142" s="1" t="s">
        <v>823</v>
      </c>
      <c r="D142" t="str">
        <f>D141</f>
        <v>Female</v>
      </c>
      <c r="G142">
        <f>SUBTOTAL(9,G141:G141)</f>
        <v>4.18</v>
      </c>
    </row>
    <row r="143" spans="1:7" hidden="1" outlineLevel="2" x14ac:dyDescent="0.3">
      <c r="A143">
        <v>18</v>
      </c>
      <c r="B143" t="s">
        <v>45</v>
      </c>
      <c r="C143">
        <v>22</v>
      </c>
      <c r="D143" t="s">
        <v>39</v>
      </c>
      <c r="E143">
        <v>82</v>
      </c>
      <c r="F143" t="s">
        <v>46</v>
      </c>
      <c r="G143">
        <v>4.9000000000000004</v>
      </c>
    </row>
    <row r="144" spans="1:7" hidden="1" outlineLevel="2" x14ac:dyDescent="0.3">
      <c r="A144">
        <v>740</v>
      </c>
      <c r="B144" t="s">
        <v>45</v>
      </c>
      <c r="C144">
        <v>22</v>
      </c>
      <c r="D144" t="s">
        <v>39</v>
      </c>
      <c r="E144">
        <v>127</v>
      </c>
      <c r="F144" t="s">
        <v>681</v>
      </c>
      <c r="G144">
        <v>3.92</v>
      </c>
    </row>
    <row r="145" spans="1:7" outlineLevel="1" collapsed="1" x14ac:dyDescent="0.3">
      <c r="B145" s="1" t="s">
        <v>824</v>
      </c>
      <c r="D145" t="str">
        <f>D144</f>
        <v>Female</v>
      </c>
      <c r="G145">
        <f>SUBTOTAL(9,G143:G144)</f>
        <v>8.82</v>
      </c>
    </row>
    <row r="146" spans="1:7" hidden="1" outlineLevel="2" x14ac:dyDescent="0.3">
      <c r="A146">
        <v>607</v>
      </c>
      <c r="B146" t="s">
        <v>662</v>
      </c>
      <c r="C146">
        <v>15</v>
      </c>
      <c r="D146" t="s">
        <v>39</v>
      </c>
      <c r="E146">
        <v>80</v>
      </c>
      <c r="F146" t="s">
        <v>119</v>
      </c>
      <c r="G146">
        <v>3.39</v>
      </c>
    </row>
    <row r="147" spans="1:7" outlineLevel="1" collapsed="1" x14ac:dyDescent="0.3">
      <c r="B147" s="1" t="s">
        <v>825</v>
      </c>
      <c r="D147" t="str">
        <f>D146</f>
        <v>Female</v>
      </c>
      <c r="G147">
        <f>SUBTOTAL(9,G146:G146)</f>
        <v>3.39</v>
      </c>
    </row>
    <row r="148" spans="1:7" hidden="1" outlineLevel="2" x14ac:dyDescent="0.3">
      <c r="A148">
        <v>524</v>
      </c>
      <c r="B148" t="s">
        <v>608</v>
      </c>
      <c r="C148">
        <v>25</v>
      </c>
      <c r="D148" t="s">
        <v>39</v>
      </c>
      <c r="E148">
        <v>46</v>
      </c>
      <c r="F148" t="s">
        <v>243</v>
      </c>
      <c r="G148">
        <v>1.33</v>
      </c>
    </row>
    <row r="149" spans="1:7" outlineLevel="1" collapsed="1" x14ac:dyDescent="0.3">
      <c r="B149" s="1" t="s">
        <v>826</v>
      </c>
      <c r="D149" t="str">
        <f>D148</f>
        <v>Female</v>
      </c>
      <c r="G149">
        <f>SUBTOTAL(9,G148:G148)</f>
        <v>1.33</v>
      </c>
    </row>
    <row r="150" spans="1:7" hidden="1" outlineLevel="2" x14ac:dyDescent="0.3">
      <c r="A150">
        <v>392</v>
      </c>
      <c r="B150" t="s">
        <v>505</v>
      </c>
      <c r="C150">
        <v>20</v>
      </c>
      <c r="D150" t="s">
        <v>39</v>
      </c>
      <c r="E150">
        <v>181</v>
      </c>
      <c r="F150" t="s">
        <v>97</v>
      </c>
      <c r="G150">
        <v>1.66</v>
      </c>
    </row>
    <row r="151" spans="1:7" hidden="1" outlineLevel="2" x14ac:dyDescent="0.3">
      <c r="A151">
        <v>615</v>
      </c>
      <c r="B151" t="s">
        <v>505</v>
      </c>
      <c r="C151">
        <v>20</v>
      </c>
      <c r="D151" t="s">
        <v>39</v>
      </c>
      <c r="E151">
        <v>72</v>
      </c>
      <c r="F151" t="s">
        <v>92</v>
      </c>
      <c r="G151">
        <v>3.77</v>
      </c>
    </row>
    <row r="152" spans="1:7" outlineLevel="1" collapsed="1" x14ac:dyDescent="0.3">
      <c r="B152" s="1" t="s">
        <v>827</v>
      </c>
      <c r="D152" t="str">
        <f>D151</f>
        <v>Female</v>
      </c>
      <c r="G152">
        <f>SUBTOTAL(9,G150:G151)</f>
        <v>5.43</v>
      </c>
    </row>
    <row r="153" spans="1:7" hidden="1" outlineLevel="2" x14ac:dyDescent="0.3">
      <c r="A153">
        <v>444</v>
      </c>
      <c r="B153" t="s">
        <v>546</v>
      </c>
      <c r="C153">
        <v>21</v>
      </c>
      <c r="D153" t="s">
        <v>39</v>
      </c>
      <c r="E153">
        <v>24</v>
      </c>
      <c r="F153" t="s">
        <v>54</v>
      </c>
      <c r="G153">
        <v>3.81</v>
      </c>
    </row>
    <row r="154" spans="1:7" outlineLevel="1" collapsed="1" x14ac:dyDescent="0.3">
      <c r="B154" s="1" t="s">
        <v>828</v>
      </c>
      <c r="D154" t="str">
        <f>D153</f>
        <v>Female</v>
      </c>
      <c r="G154">
        <f>SUBTOTAL(9,G153:G153)</f>
        <v>3.81</v>
      </c>
    </row>
    <row r="155" spans="1:7" hidden="1" outlineLevel="2" x14ac:dyDescent="0.3">
      <c r="A155">
        <v>166</v>
      </c>
      <c r="B155" t="s">
        <v>266</v>
      </c>
      <c r="C155">
        <v>22</v>
      </c>
      <c r="D155" t="s">
        <v>39</v>
      </c>
      <c r="E155">
        <v>30</v>
      </c>
      <c r="F155" t="s">
        <v>267</v>
      </c>
      <c r="G155">
        <v>2.21</v>
      </c>
    </row>
    <row r="156" spans="1:7" hidden="1" outlineLevel="2" x14ac:dyDescent="0.3">
      <c r="A156">
        <v>478</v>
      </c>
      <c r="B156" t="s">
        <v>266</v>
      </c>
      <c r="C156">
        <v>22</v>
      </c>
      <c r="D156" t="s">
        <v>39</v>
      </c>
      <c r="E156">
        <v>35</v>
      </c>
      <c r="F156" t="s">
        <v>411</v>
      </c>
      <c r="G156">
        <v>3.45</v>
      </c>
    </row>
    <row r="157" spans="1:7" outlineLevel="1" collapsed="1" x14ac:dyDescent="0.3">
      <c r="B157" s="1" t="s">
        <v>829</v>
      </c>
      <c r="D157" t="str">
        <f>D156</f>
        <v>Female</v>
      </c>
      <c r="G157">
        <f>SUBTOTAL(9,G155:G156)</f>
        <v>5.66</v>
      </c>
    </row>
    <row r="158" spans="1:7" hidden="1" outlineLevel="2" x14ac:dyDescent="0.3">
      <c r="A158">
        <v>450</v>
      </c>
      <c r="B158" t="s">
        <v>550</v>
      </c>
      <c r="C158">
        <v>18</v>
      </c>
      <c r="D158" t="s">
        <v>39</v>
      </c>
      <c r="E158">
        <v>35</v>
      </c>
      <c r="F158" t="s">
        <v>411</v>
      </c>
      <c r="G158">
        <v>3.45</v>
      </c>
    </row>
    <row r="159" spans="1:7" outlineLevel="1" collapsed="1" x14ac:dyDescent="0.3">
      <c r="B159" s="1" t="s">
        <v>830</v>
      </c>
      <c r="D159" t="str">
        <f>D158</f>
        <v>Female</v>
      </c>
      <c r="G159">
        <f>SUBTOTAL(9,G158:G158)</f>
        <v>3.45</v>
      </c>
    </row>
    <row r="160" spans="1:7" hidden="1" outlineLevel="2" x14ac:dyDescent="0.3">
      <c r="A160">
        <v>482</v>
      </c>
      <c r="B160" t="s">
        <v>579</v>
      </c>
      <c r="C160">
        <v>32</v>
      </c>
      <c r="D160" t="s">
        <v>39</v>
      </c>
      <c r="E160">
        <v>77</v>
      </c>
      <c r="F160" t="s">
        <v>296</v>
      </c>
      <c r="G160">
        <v>4</v>
      </c>
    </row>
    <row r="161" spans="1:7" outlineLevel="1" collapsed="1" x14ac:dyDescent="0.3">
      <c r="B161" s="1" t="s">
        <v>831</v>
      </c>
      <c r="D161" t="str">
        <f>D160</f>
        <v>Female</v>
      </c>
      <c r="G161">
        <f>SUBTOTAL(9,G160:G160)</f>
        <v>4</v>
      </c>
    </row>
    <row r="162" spans="1:7" hidden="1" outlineLevel="2" x14ac:dyDescent="0.3">
      <c r="A162">
        <v>296</v>
      </c>
      <c r="B162" t="s">
        <v>416</v>
      </c>
      <c r="C162">
        <v>22</v>
      </c>
      <c r="D162" t="s">
        <v>39</v>
      </c>
      <c r="E162">
        <v>65</v>
      </c>
      <c r="F162" t="s">
        <v>262</v>
      </c>
      <c r="G162">
        <v>4.24</v>
      </c>
    </row>
    <row r="163" spans="1:7" outlineLevel="1" collapsed="1" x14ac:dyDescent="0.3">
      <c r="B163" s="1" t="s">
        <v>832</v>
      </c>
      <c r="D163" t="str">
        <f>D162</f>
        <v>Female</v>
      </c>
      <c r="G163">
        <f>SUBTOTAL(9,G162:G162)</f>
        <v>4.24</v>
      </c>
    </row>
    <row r="164" spans="1:7" hidden="1" outlineLevel="2" x14ac:dyDescent="0.3">
      <c r="A164">
        <v>177</v>
      </c>
      <c r="B164" t="s">
        <v>282</v>
      </c>
      <c r="C164">
        <v>30</v>
      </c>
      <c r="D164" t="s">
        <v>39</v>
      </c>
      <c r="E164">
        <v>135</v>
      </c>
      <c r="F164" t="s">
        <v>283</v>
      </c>
      <c r="G164">
        <v>1.4</v>
      </c>
    </row>
    <row r="165" spans="1:7" outlineLevel="1" collapsed="1" x14ac:dyDescent="0.3">
      <c r="B165" s="1" t="s">
        <v>833</v>
      </c>
      <c r="D165" t="str">
        <f>D164</f>
        <v>Female</v>
      </c>
      <c r="G165">
        <f>SUBTOTAL(9,G164:G164)</f>
        <v>1.4</v>
      </c>
    </row>
    <row r="166" spans="1:7" hidden="1" outlineLevel="2" x14ac:dyDescent="0.3">
      <c r="A166">
        <v>233</v>
      </c>
      <c r="B166" t="s">
        <v>346</v>
      </c>
      <c r="C166">
        <v>19</v>
      </c>
      <c r="D166" t="s">
        <v>39</v>
      </c>
      <c r="E166">
        <v>66</v>
      </c>
      <c r="F166" t="s">
        <v>347</v>
      </c>
      <c r="G166">
        <v>4.4000000000000004</v>
      </c>
    </row>
    <row r="167" spans="1:7" outlineLevel="1" collapsed="1" x14ac:dyDescent="0.3">
      <c r="B167" s="1" t="s">
        <v>834</v>
      </c>
      <c r="D167" t="str">
        <f>D166</f>
        <v>Female</v>
      </c>
      <c r="G167">
        <f>SUBTOTAL(9,G166:G166)</f>
        <v>4.4000000000000004</v>
      </c>
    </row>
    <row r="168" spans="1:7" hidden="1" outlineLevel="2" x14ac:dyDescent="0.3">
      <c r="A168">
        <v>697</v>
      </c>
      <c r="B168" t="s">
        <v>714</v>
      </c>
      <c r="C168">
        <v>19</v>
      </c>
      <c r="D168" t="s">
        <v>39</v>
      </c>
      <c r="E168">
        <v>1</v>
      </c>
      <c r="F168" t="s">
        <v>212</v>
      </c>
      <c r="G168">
        <v>3.26</v>
      </c>
    </row>
    <row r="169" spans="1:7" outlineLevel="1" collapsed="1" x14ac:dyDescent="0.3">
      <c r="B169" s="1" t="s">
        <v>835</v>
      </c>
      <c r="D169" t="str">
        <f>D168</f>
        <v>Female</v>
      </c>
      <c r="G169">
        <f>SUBTOTAL(9,G168:G168)</f>
        <v>3.26</v>
      </c>
    </row>
    <row r="170" spans="1:7" hidden="1" outlineLevel="2" x14ac:dyDescent="0.3">
      <c r="A170">
        <v>699</v>
      </c>
      <c r="B170" t="s">
        <v>716</v>
      </c>
      <c r="C170">
        <v>17</v>
      </c>
      <c r="D170" t="s">
        <v>39</v>
      </c>
      <c r="E170">
        <v>130</v>
      </c>
      <c r="F170" t="s">
        <v>704</v>
      </c>
      <c r="G170">
        <v>2.0699999999999998</v>
      </c>
    </row>
    <row r="171" spans="1:7" outlineLevel="1" collapsed="1" x14ac:dyDescent="0.3">
      <c r="B171" s="1" t="s">
        <v>836</v>
      </c>
      <c r="D171" t="str">
        <f>D170</f>
        <v>Female</v>
      </c>
      <c r="G171">
        <f>SUBTOTAL(9,G170:G170)</f>
        <v>2.0699999999999998</v>
      </c>
    </row>
    <row r="172" spans="1:7" hidden="1" outlineLevel="2" x14ac:dyDescent="0.3">
      <c r="A172">
        <v>225</v>
      </c>
      <c r="B172" t="s">
        <v>339</v>
      </c>
      <c r="C172">
        <v>24</v>
      </c>
      <c r="D172" t="s">
        <v>39</v>
      </c>
      <c r="E172">
        <v>154</v>
      </c>
      <c r="F172" t="s">
        <v>290</v>
      </c>
      <c r="G172">
        <v>4.4000000000000004</v>
      </c>
    </row>
    <row r="173" spans="1:7" outlineLevel="1" collapsed="1" x14ac:dyDescent="0.3">
      <c r="B173" s="1" t="s">
        <v>837</v>
      </c>
      <c r="D173" t="str">
        <f>D172</f>
        <v>Female</v>
      </c>
      <c r="G173">
        <f>SUBTOTAL(9,G172:G172)</f>
        <v>4.4000000000000004</v>
      </c>
    </row>
    <row r="174" spans="1:7" hidden="1" outlineLevel="2" x14ac:dyDescent="0.3">
      <c r="A174">
        <v>267</v>
      </c>
      <c r="B174" t="s">
        <v>383</v>
      </c>
      <c r="C174">
        <v>16</v>
      </c>
      <c r="D174" t="s">
        <v>39</v>
      </c>
      <c r="E174">
        <v>41</v>
      </c>
      <c r="F174" t="s">
        <v>198</v>
      </c>
      <c r="G174">
        <v>4.75</v>
      </c>
    </row>
    <row r="175" spans="1:7" hidden="1" outlineLevel="2" x14ac:dyDescent="0.3">
      <c r="A175">
        <v>276</v>
      </c>
      <c r="B175" t="s">
        <v>383</v>
      </c>
      <c r="C175">
        <v>16</v>
      </c>
      <c r="D175" t="s">
        <v>39</v>
      </c>
      <c r="E175">
        <v>9</v>
      </c>
      <c r="F175" t="s">
        <v>95</v>
      </c>
      <c r="G175">
        <v>2.73</v>
      </c>
    </row>
    <row r="176" spans="1:7" hidden="1" outlineLevel="2" x14ac:dyDescent="0.3">
      <c r="A176">
        <v>714</v>
      </c>
      <c r="B176" t="s">
        <v>383</v>
      </c>
      <c r="C176">
        <v>16</v>
      </c>
      <c r="D176" t="s">
        <v>39</v>
      </c>
      <c r="E176">
        <v>103</v>
      </c>
      <c r="F176" t="s">
        <v>280</v>
      </c>
      <c r="G176">
        <v>4.3499999999999996</v>
      </c>
    </row>
    <row r="177" spans="1:7" outlineLevel="1" collapsed="1" x14ac:dyDescent="0.3">
      <c r="B177" s="1" t="s">
        <v>838</v>
      </c>
      <c r="D177" t="str">
        <f>D176</f>
        <v>Female</v>
      </c>
      <c r="G177">
        <f>SUBTOTAL(9,G174:G176)</f>
        <v>11.83</v>
      </c>
    </row>
    <row r="178" spans="1:7" hidden="1" outlineLevel="2" x14ac:dyDescent="0.3">
      <c r="A178">
        <v>317</v>
      </c>
      <c r="B178" t="s">
        <v>434</v>
      </c>
      <c r="C178">
        <v>18</v>
      </c>
      <c r="D178" t="s">
        <v>39</v>
      </c>
      <c r="E178">
        <v>3</v>
      </c>
      <c r="F178" t="s">
        <v>259</v>
      </c>
      <c r="G178">
        <v>2.4900000000000002</v>
      </c>
    </row>
    <row r="179" spans="1:7" outlineLevel="1" collapsed="1" x14ac:dyDescent="0.3">
      <c r="B179" s="1" t="s">
        <v>839</v>
      </c>
      <c r="D179" t="str">
        <f>D178</f>
        <v>Female</v>
      </c>
      <c r="G179">
        <f>SUBTOTAL(9,G178:G178)</f>
        <v>2.4900000000000002</v>
      </c>
    </row>
    <row r="180" spans="1:7" hidden="1" outlineLevel="2" x14ac:dyDescent="0.3">
      <c r="A180">
        <v>85</v>
      </c>
      <c r="B180" t="s">
        <v>160</v>
      </c>
      <c r="C180">
        <v>32</v>
      </c>
      <c r="D180" t="s">
        <v>39</v>
      </c>
      <c r="E180">
        <v>33</v>
      </c>
      <c r="F180" t="s">
        <v>161</v>
      </c>
      <c r="G180">
        <v>1.1599999999999999</v>
      </c>
    </row>
    <row r="181" spans="1:7" hidden="1" outlineLevel="2" x14ac:dyDescent="0.3">
      <c r="A181">
        <v>210</v>
      </c>
      <c r="B181" t="s">
        <v>160</v>
      </c>
      <c r="C181">
        <v>32</v>
      </c>
      <c r="D181" t="s">
        <v>39</v>
      </c>
      <c r="E181">
        <v>136</v>
      </c>
      <c r="F181" t="s">
        <v>28</v>
      </c>
      <c r="G181">
        <v>3.58</v>
      </c>
    </row>
    <row r="182" spans="1:7" hidden="1" outlineLevel="2" x14ac:dyDescent="0.3">
      <c r="A182">
        <v>436</v>
      </c>
      <c r="B182" t="s">
        <v>160</v>
      </c>
      <c r="C182">
        <v>32</v>
      </c>
      <c r="D182" t="s">
        <v>39</v>
      </c>
      <c r="E182">
        <v>80</v>
      </c>
      <c r="F182" t="s">
        <v>119</v>
      </c>
      <c r="G182">
        <v>3.39</v>
      </c>
    </row>
    <row r="183" spans="1:7" outlineLevel="1" collapsed="1" x14ac:dyDescent="0.3">
      <c r="B183" s="1" t="s">
        <v>840</v>
      </c>
      <c r="D183" t="str">
        <f>D182</f>
        <v>Female</v>
      </c>
      <c r="G183">
        <f>SUBTOTAL(9,G180:G182)</f>
        <v>8.1300000000000008</v>
      </c>
    </row>
    <row r="184" spans="1:7" hidden="1" outlineLevel="2" x14ac:dyDescent="0.3">
      <c r="A184">
        <v>283</v>
      </c>
      <c r="B184" t="s">
        <v>400</v>
      </c>
      <c r="C184">
        <v>21</v>
      </c>
      <c r="D184" t="s">
        <v>39</v>
      </c>
      <c r="E184">
        <v>9</v>
      </c>
      <c r="F184" t="s">
        <v>95</v>
      </c>
      <c r="G184">
        <v>2.73</v>
      </c>
    </row>
    <row r="185" spans="1:7" outlineLevel="1" collapsed="1" x14ac:dyDescent="0.3">
      <c r="B185" s="1" t="s">
        <v>841</v>
      </c>
      <c r="D185" t="str">
        <f>D184</f>
        <v>Female</v>
      </c>
      <c r="G185">
        <f>SUBTOTAL(9,G184:G184)</f>
        <v>2.73</v>
      </c>
    </row>
    <row r="186" spans="1:7" hidden="1" outlineLevel="2" x14ac:dyDescent="0.3">
      <c r="A186">
        <v>280</v>
      </c>
      <c r="B186" t="s">
        <v>396</v>
      </c>
      <c r="C186">
        <v>20</v>
      </c>
      <c r="D186" t="s">
        <v>39</v>
      </c>
      <c r="E186">
        <v>16</v>
      </c>
      <c r="F186" t="s">
        <v>354</v>
      </c>
      <c r="G186">
        <v>3.55</v>
      </c>
    </row>
    <row r="187" spans="1:7" outlineLevel="1" collapsed="1" x14ac:dyDescent="0.3">
      <c r="B187" s="1" t="s">
        <v>842</v>
      </c>
      <c r="D187" t="str">
        <f>D186</f>
        <v>Female</v>
      </c>
      <c r="G187">
        <f>SUBTOTAL(9,G186:G186)</f>
        <v>3.55</v>
      </c>
    </row>
    <row r="188" spans="1:7" hidden="1" outlineLevel="2" x14ac:dyDescent="0.3">
      <c r="A188">
        <v>698</v>
      </c>
      <c r="B188" t="s">
        <v>715</v>
      </c>
      <c r="C188">
        <v>30</v>
      </c>
      <c r="D188" t="s">
        <v>39</v>
      </c>
      <c r="E188">
        <v>58</v>
      </c>
      <c r="F188" t="s">
        <v>221</v>
      </c>
      <c r="G188">
        <v>4.1399999999999997</v>
      </c>
    </row>
    <row r="189" spans="1:7" outlineLevel="1" collapsed="1" x14ac:dyDescent="0.3">
      <c r="B189" s="1" t="s">
        <v>843</v>
      </c>
      <c r="D189" t="str">
        <f>D188</f>
        <v>Female</v>
      </c>
      <c r="G189">
        <f>SUBTOTAL(9,G188:G188)</f>
        <v>4.1399999999999997</v>
      </c>
    </row>
    <row r="190" spans="1:7" hidden="1" outlineLevel="2" x14ac:dyDescent="0.3">
      <c r="A190">
        <v>125</v>
      </c>
      <c r="B190" t="s">
        <v>216</v>
      </c>
      <c r="C190">
        <v>20</v>
      </c>
      <c r="D190" t="s">
        <v>39</v>
      </c>
      <c r="E190">
        <v>62</v>
      </c>
      <c r="F190" t="s">
        <v>217</v>
      </c>
      <c r="G190">
        <v>1.87</v>
      </c>
    </row>
    <row r="191" spans="1:7" hidden="1" outlineLevel="2" x14ac:dyDescent="0.3">
      <c r="A191">
        <v>548</v>
      </c>
      <c r="B191" t="s">
        <v>216</v>
      </c>
      <c r="C191">
        <v>20</v>
      </c>
      <c r="D191" t="s">
        <v>39</v>
      </c>
      <c r="E191">
        <v>75</v>
      </c>
      <c r="F191" t="s">
        <v>218</v>
      </c>
      <c r="G191">
        <v>2.42</v>
      </c>
    </row>
    <row r="192" spans="1:7" hidden="1" outlineLevel="2" x14ac:dyDescent="0.3">
      <c r="A192">
        <v>727</v>
      </c>
      <c r="B192" t="s">
        <v>216</v>
      </c>
      <c r="C192">
        <v>20</v>
      </c>
      <c r="D192" t="s">
        <v>39</v>
      </c>
      <c r="E192">
        <v>104</v>
      </c>
      <c r="F192" t="s">
        <v>734</v>
      </c>
      <c r="G192">
        <v>1.93</v>
      </c>
    </row>
    <row r="193" spans="1:7" outlineLevel="1" collapsed="1" x14ac:dyDescent="0.3">
      <c r="B193" s="1" t="s">
        <v>844</v>
      </c>
      <c r="D193" t="str">
        <f>D192</f>
        <v>Female</v>
      </c>
      <c r="G193">
        <f>SUBTOTAL(9,G190:G192)</f>
        <v>6.22</v>
      </c>
    </row>
    <row r="194" spans="1:7" hidden="1" outlineLevel="2" x14ac:dyDescent="0.3">
      <c r="A194">
        <v>572</v>
      </c>
      <c r="B194" t="s">
        <v>640</v>
      </c>
      <c r="C194">
        <v>17</v>
      </c>
      <c r="D194" t="s">
        <v>39</v>
      </c>
      <c r="E194">
        <v>145</v>
      </c>
      <c r="F194" t="s">
        <v>227</v>
      </c>
      <c r="G194">
        <v>4.58</v>
      </c>
    </row>
    <row r="195" spans="1:7" outlineLevel="1" collapsed="1" x14ac:dyDescent="0.3">
      <c r="B195" s="1" t="s">
        <v>845</v>
      </c>
      <c r="D195" t="str">
        <f>D194</f>
        <v>Female</v>
      </c>
      <c r="G195">
        <f>SUBTOTAL(9,G194:G194)</f>
        <v>4.58</v>
      </c>
    </row>
    <row r="196" spans="1:7" hidden="1" outlineLevel="2" x14ac:dyDescent="0.3">
      <c r="A196">
        <v>467</v>
      </c>
      <c r="B196" t="s">
        <v>567</v>
      </c>
      <c r="C196">
        <v>16</v>
      </c>
      <c r="D196" t="s">
        <v>8</v>
      </c>
      <c r="E196">
        <v>123</v>
      </c>
      <c r="F196" t="s">
        <v>271</v>
      </c>
      <c r="G196">
        <v>2.2799999999999998</v>
      </c>
    </row>
    <row r="197" spans="1:7" outlineLevel="1" collapsed="1" x14ac:dyDescent="0.3">
      <c r="B197" s="1" t="s">
        <v>846</v>
      </c>
      <c r="D197" t="str">
        <f>D196</f>
        <v>Male</v>
      </c>
      <c r="G197">
        <f>SUBTOTAL(9,G196:G196)</f>
        <v>2.2799999999999998</v>
      </c>
    </row>
    <row r="198" spans="1:7" hidden="1" outlineLevel="2" x14ac:dyDescent="0.3">
      <c r="A198">
        <v>388</v>
      </c>
      <c r="B198" t="s">
        <v>501</v>
      </c>
      <c r="C198">
        <v>17</v>
      </c>
      <c r="D198" t="s">
        <v>8</v>
      </c>
      <c r="E198">
        <v>128</v>
      </c>
      <c r="F198" t="s">
        <v>402</v>
      </c>
      <c r="G198">
        <v>4.91</v>
      </c>
    </row>
    <row r="199" spans="1:7" outlineLevel="1" collapsed="1" x14ac:dyDescent="0.3">
      <c r="B199" s="1" t="s">
        <v>847</v>
      </c>
      <c r="D199" t="str">
        <f>D198</f>
        <v>Male</v>
      </c>
      <c r="G199">
        <f>SUBTOTAL(9,G198:G198)</f>
        <v>4.91</v>
      </c>
    </row>
    <row r="200" spans="1:7" hidden="1" outlineLevel="2" x14ac:dyDescent="0.3">
      <c r="A200">
        <v>28</v>
      </c>
      <c r="B200" t="s">
        <v>65</v>
      </c>
      <c r="C200">
        <v>21</v>
      </c>
      <c r="D200" t="s">
        <v>8</v>
      </c>
      <c r="E200">
        <v>119</v>
      </c>
      <c r="F200" t="s">
        <v>66</v>
      </c>
      <c r="G200">
        <v>4.32</v>
      </c>
    </row>
    <row r="201" spans="1:7" outlineLevel="1" collapsed="1" x14ac:dyDescent="0.3">
      <c r="B201" s="1" t="s">
        <v>848</v>
      </c>
      <c r="D201" t="str">
        <f>D200</f>
        <v>Male</v>
      </c>
      <c r="G201">
        <f>SUBTOTAL(9,G200:G200)</f>
        <v>4.32</v>
      </c>
    </row>
    <row r="202" spans="1:7" hidden="1" outlineLevel="2" x14ac:dyDescent="0.3">
      <c r="A202">
        <v>630</v>
      </c>
      <c r="B202" t="s">
        <v>672</v>
      </c>
      <c r="C202">
        <v>23</v>
      </c>
      <c r="D202" t="s">
        <v>8</v>
      </c>
      <c r="E202">
        <v>171</v>
      </c>
      <c r="F202" t="s">
        <v>413</v>
      </c>
      <c r="G202">
        <v>1.79</v>
      </c>
    </row>
    <row r="203" spans="1:7" outlineLevel="1" collapsed="1" x14ac:dyDescent="0.3">
      <c r="B203" s="1" t="s">
        <v>849</v>
      </c>
      <c r="D203" t="str">
        <f>D202</f>
        <v>Male</v>
      </c>
      <c r="G203">
        <f>SUBTOTAL(9,G202:G202)</f>
        <v>1.79</v>
      </c>
    </row>
    <row r="204" spans="1:7" hidden="1" outlineLevel="2" x14ac:dyDescent="0.3">
      <c r="A204">
        <v>218</v>
      </c>
      <c r="B204" t="s">
        <v>333</v>
      </c>
      <c r="C204">
        <v>23</v>
      </c>
      <c r="D204" t="s">
        <v>8</v>
      </c>
      <c r="E204">
        <v>76</v>
      </c>
      <c r="F204" t="s">
        <v>82</v>
      </c>
      <c r="G204">
        <v>3.15</v>
      </c>
    </row>
    <row r="205" spans="1:7" hidden="1" outlineLevel="2" x14ac:dyDescent="0.3">
      <c r="A205">
        <v>766</v>
      </c>
      <c r="B205" t="s">
        <v>333</v>
      </c>
      <c r="C205">
        <v>23</v>
      </c>
      <c r="D205" t="s">
        <v>8</v>
      </c>
      <c r="E205">
        <v>58</v>
      </c>
      <c r="F205" t="s">
        <v>221</v>
      </c>
      <c r="G205">
        <v>4.1399999999999997</v>
      </c>
    </row>
    <row r="206" spans="1:7" outlineLevel="1" collapsed="1" x14ac:dyDescent="0.3">
      <c r="B206" s="1" t="s">
        <v>850</v>
      </c>
      <c r="D206" t="str">
        <f>D205</f>
        <v>Male</v>
      </c>
      <c r="G206">
        <f>SUBTOTAL(9,G204:G205)</f>
        <v>7.2899999999999991</v>
      </c>
    </row>
    <row r="207" spans="1:7" hidden="1" outlineLevel="2" x14ac:dyDescent="0.3">
      <c r="A207">
        <v>705</v>
      </c>
      <c r="B207" t="s">
        <v>722</v>
      </c>
      <c r="C207">
        <v>22</v>
      </c>
      <c r="D207" t="s">
        <v>8</v>
      </c>
      <c r="E207">
        <v>183</v>
      </c>
      <c r="F207" t="s">
        <v>265</v>
      </c>
      <c r="G207">
        <v>1.0900000000000001</v>
      </c>
    </row>
    <row r="208" spans="1:7" outlineLevel="1" collapsed="1" x14ac:dyDescent="0.3">
      <c r="B208" s="1" t="s">
        <v>851</v>
      </c>
      <c r="D208" t="str">
        <f>D207</f>
        <v>Male</v>
      </c>
      <c r="G208">
        <f>SUBTOTAL(9,G207:G207)</f>
        <v>1.0900000000000001</v>
      </c>
    </row>
    <row r="209" spans="1:7" hidden="1" outlineLevel="2" x14ac:dyDescent="0.3">
      <c r="A209">
        <v>52</v>
      </c>
      <c r="B209" t="s">
        <v>109</v>
      </c>
      <c r="C209">
        <v>20</v>
      </c>
      <c r="D209" t="s">
        <v>8</v>
      </c>
      <c r="E209">
        <v>60</v>
      </c>
      <c r="F209" t="s">
        <v>110</v>
      </c>
      <c r="G209">
        <v>3.54</v>
      </c>
    </row>
    <row r="210" spans="1:7" hidden="1" outlineLevel="2" x14ac:dyDescent="0.3">
      <c r="A210">
        <v>87</v>
      </c>
      <c r="B210" t="s">
        <v>109</v>
      </c>
      <c r="C210">
        <v>20</v>
      </c>
      <c r="D210" t="s">
        <v>8</v>
      </c>
      <c r="E210">
        <v>151</v>
      </c>
      <c r="F210" t="s">
        <v>56</v>
      </c>
      <c r="G210">
        <v>3.4</v>
      </c>
    </row>
    <row r="211" spans="1:7" hidden="1" outlineLevel="2" x14ac:dyDescent="0.3">
      <c r="A211">
        <v>584</v>
      </c>
      <c r="B211" t="s">
        <v>109</v>
      </c>
      <c r="C211">
        <v>20</v>
      </c>
      <c r="D211" t="s">
        <v>8</v>
      </c>
      <c r="E211">
        <v>115</v>
      </c>
      <c r="F211" t="s">
        <v>647</v>
      </c>
      <c r="G211">
        <v>2.04</v>
      </c>
    </row>
    <row r="212" spans="1:7" outlineLevel="1" collapsed="1" x14ac:dyDescent="0.3">
      <c r="B212" s="1" t="s">
        <v>852</v>
      </c>
      <c r="D212" t="str">
        <f>D211</f>
        <v>Male</v>
      </c>
      <c r="G212">
        <f>SUBTOTAL(9,G209:G211)</f>
        <v>8.98</v>
      </c>
    </row>
    <row r="213" spans="1:7" hidden="1" outlineLevel="2" x14ac:dyDescent="0.3">
      <c r="A213">
        <v>43</v>
      </c>
      <c r="B213" t="s">
        <v>93</v>
      </c>
      <c r="C213">
        <v>24</v>
      </c>
      <c r="D213" t="s">
        <v>8</v>
      </c>
      <c r="E213">
        <v>116</v>
      </c>
      <c r="F213" t="s">
        <v>33</v>
      </c>
      <c r="G213">
        <v>4.18</v>
      </c>
    </row>
    <row r="214" spans="1:7" hidden="1" outlineLevel="2" x14ac:dyDescent="0.3">
      <c r="A214">
        <v>428</v>
      </c>
      <c r="B214" t="s">
        <v>93</v>
      </c>
      <c r="C214">
        <v>24</v>
      </c>
      <c r="D214" t="s">
        <v>8</v>
      </c>
      <c r="E214">
        <v>14</v>
      </c>
      <c r="F214" t="s">
        <v>476</v>
      </c>
      <c r="G214">
        <v>2.61</v>
      </c>
    </row>
    <row r="215" spans="1:7" outlineLevel="1" collapsed="1" x14ac:dyDescent="0.3">
      <c r="B215" s="1" t="s">
        <v>853</v>
      </c>
      <c r="D215" t="str">
        <f>D214</f>
        <v>Male</v>
      </c>
      <c r="G215">
        <f>SUBTOTAL(9,G213:G214)</f>
        <v>6.7899999999999991</v>
      </c>
    </row>
    <row r="216" spans="1:7" hidden="1" outlineLevel="2" x14ac:dyDescent="0.3">
      <c r="A216">
        <v>286</v>
      </c>
      <c r="B216" t="s">
        <v>404</v>
      </c>
      <c r="C216">
        <v>25</v>
      </c>
      <c r="D216" t="s">
        <v>8</v>
      </c>
      <c r="E216">
        <v>153</v>
      </c>
      <c r="F216" t="s">
        <v>312</v>
      </c>
      <c r="G216">
        <v>3.74</v>
      </c>
    </row>
    <row r="217" spans="1:7" outlineLevel="1" collapsed="1" x14ac:dyDescent="0.3">
      <c r="B217" s="1" t="s">
        <v>854</v>
      </c>
      <c r="D217" t="str">
        <f>D216</f>
        <v>Male</v>
      </c>
      <c r="G217">
        <f>SUBTOTAL(9,G216:G216)</f>
        <v>3.74</v>
      </c>
    </row>
    <row r="218" spans="1:7" hidden="1" outlineLevel="2" x14ac:dyDescent="0.3">
      <c r="A218">
        <v>746</v>
      </c>
      <c r="B218" t="s">
        <v>748</v>
      </c>
      <c r="C218">
        <v>23</v>
      </c>
      <c r="D218" t="s">
        <v>8</v>
      </c>
      <c r="E218">
        <v>159</v>
      </c>
      <c r="F218" t="s">
        <v>327</v>
      </c>
      <c r="G218">
        <v>3.08</v>
      </c>
    </row>
    <row r="219" spans="1:7" outlineLevel="1" collapsed="1" x14ac:dyDescent="0.3">
      <c r="B219" s="1" t="s">
        <v>855</v>
      </c>
      <c r="D219" t="str">
        <f>D218</f>
        <v>Male</v>
      </c>
      <c r="G219">
        <f>SUBTOTAL(9,G218:G218)</f>
        <v>3.08</v>
      </c>
    </row>
    <row r="220" spans="1:7" hidden="1" outlineLevel="2" x14ac:dyDescent="0.3">
      <c r="A220">
        <v>203</v>
      </c>
      <c r="B220" t="s">
        <v>318</v>
      </c>
      <c r="C220">
        <v>33</v>
      </c>
      <c r="D220" t="s">
        <v>8</v>
      </c>
      <c r="E220">
        <v>3</v>
      </c>
      <c r="F220" t="s">
        <v>259</v>
      </c>
      <c r="G220">
        <v>2.4900000000000002</v>
      </c>
    </row>
    <row r="221" spans="1:7" hidden="1" outlineLevel="2" x14ac:dyDescent="0.3">
      <c r="A221">
        <v>431</v>
      </c>
      <c r="B221" t="s">
        <v>318</v>
      </c>
      <c r="C221">
        <v>33</v>
      </c>
      <c r="D221" t="s">
        <v>8</v>
      </c>
      <c r="E221">
        <v>172</v>
      </c>
      <c r="F221" t="s">
        <v>87</v>
      </c>
      <c r="G221">
        <v>3.14</v>
      </c>
    </row>
    <row r="222" spans="1:7" outlineLevel="1" collapsed="1" x14ac:dyDescent="0.3">
      <c r="B222" s="1" t="s">
        <v>856</v>
      </c>
      <c r="D222" t="str">
        <f>D221</f>
        <v>Male</v>
      </c>
      <c r="G222">
        <f>SUBTOTAL(9,G220:G221)</f>
        <v>5.6300000000000008</v>
      </c>
    </row>
    <row r="223" spans="1:7" hidden="1" outlineLevel="2" x14ac:dyDescent="0.3">
      <c r="A223">
        <v>183</v>
      </c>
      <c r="B223" t="s">
        <v>291</v>
      </c>
      <c r="C223">
        <v>21</v>
      </c>
      <c r="D223" t="s">
        <v>8</v>
      </c>
      <c r="E223">
        <v>15</v>
      </c>
      <c r="F223" t="s">
        <v>108</v>
      </c>
      <c r="G223">
        <v>2.96</v>
      </c>
    </row>
    <row r="224" spans="1:7" outlineLevel="1" collapsed="1" x14ac:dyDescent="0.3">
      <c r="B224" s="1" t="s">
        <v>857</v>
      </c>
      <c r="D224" t="str">
        <f>D223</f>
        <v>Male</v>
      </c>
      <c r="G224">
        <f>SUBTOTAL(9,G223:G223)</f>
        <v>2.96</v>
      </c>
    </row>
    <row r="225" spans="1:7" hidden="1" outlineLevel="2" x14ac:dyDescent="0.3">
      <c r="A225">
        <v>263</v>
      </c>
      <c r="B225" t="s">
        <v>381</v>
      </c>
      <c r="C225">
        <v>24</v>
      </c>
      <c r="D225" t="s">
        <v>8</v>
      </c>
      <c r="E225">
        <v>78</v>
      </c>
      <c r="F225" t="s">
        <v>208</v>
      </c>
      <c r="G225">
        <v>4.4000000000000004</v>
      </c>
    </row>
    <row r="226" spans="1:7" outlineLevel="1" collapsed="1" x14ac:dyDescent="0.3">
      <c r="B226" s="1" t="s">
        <v>858</v>
      </c>
      <c r="D226" t="str">
        <f>D225</f>
        <v>Male</v>
      </c>
      <c r="G226">
        <f>SUBTOTAL(9,G225:G225)</f>
        <v>4.4000000000000004</v>
      </c>
    </row>
    <row r="227" spans="1:7" hidden="1" outlineLevel="2" x14ac:dyDescent="0.3">
      <c r="A227">
        <v>674</v>
      </c>
      <c r="B227" t="s">
        <v>705</v>
      </c>
      <c r="C227">
        <v>43</v>
      </c>
      <c r="D227" t="s">
        <v>8</v>
      </c>
      <c r="E227">
        <v>77</v>
      </c>
      <c r="F227" t="s">
        <v>296</v>
      </c>
      <c r="G227">
        <v>4</v>
      </c>
    </row>
    <row r="228" spans="1:7" outlineLevel="1" collapsed="1" x14ac:dyDescent="0.3">
      <c r="B228" s="1" t="s">
        <v>859</v>
      </c>
      <c r="D228" t="str">
        <f>D227</f>
        <v>Male</v>
      </c>
      <c r="G228">
        <f>SUBTOTAL(9,G227:G227)</f>
        <v>4</v>
      </c>
    </row>
    <row r="229" spans="1:7" hidden="1" outlineLevel="2" x14ac:dyDescent="0.3">
      <c r="A229">
        <v>167</v>
      </c>
      <c r="B229" t="s">
        <v>268</v>
      </c>
      <c r="C229">
        <v>23</v>
      </c>
      <c r="D229" t="s">
        <v>8</v>
      </c>
      <c r="E229">
        <v>157</v>
      </c>
      <c r="F229" t="s">
        <v>269</v>
      </c>
      <c r="G229">
        <v>4.8</v>
      </c>
    </row>
    <row r="230" spans="1:7" outlineLevel="1" collapsed="1" x14ac:dyDescent="0.3">
      <c r="B230" s="1" t="s">
        <v>860</v>
      </c>
      <c r="D230" t="str">
        <f>D229</f>
        <v>Male</v>
      </c>
      <c r="G230">
        <f>SUBTOTAL(9,G229:G229)</f>
        <v>4.8</v>
      </c>
    </row>
    <row r="231" spans="1:7" hidden="1" outlineLevel="2" x14ac:dyDescent="0.3">
      <c r="A231">
        <v>32</v>
      </c>
      <c r="B231" t="s">
        <v>73</v>
      </c>
      <c r="C231">
        <v>10</v>
      </c>
      <c r="D231" t="s">
        <v>8</v>
      </c>
      <c r="E231">
        <v>133</v>
      </c>
      <c r="F231" t="s">
        <v>74</v>
      </c>
      <c r="G231">
        <v>4.09</v>
      </c>
    </row>
    <row r="232" spans="1:7" outlineLevel="1" collapsed="1" x14ac:dyDescent="0.3">
      <c r="B232" s="1" t="s">
        <v>861</v>
      </c>
      <c r="D232" t="str">
        <f>D231</f>
        <v>Male</v>
      </c>
      <c r="G232">
        <f>SUBTOTAL(9,G231:G231)</f>
        <v>4.09</v>
      </c>
    </row>
    <row r="233" spans="1:7" hidden="1" outlineLevel="2" x14ac:dyDescent="0.3">
      <c r="A233">
        <v>583</v>
      </c>
      <c r="B233" t="s">
        <v>646</v>
      </c>
      <c r="C233">
        <v>20</v>
      </c>
      <c r="D233" t="s">
        <v>8</v>
      </c>
      <c r="E233">
        <v>49</v>
      </c>
      <c r="F233" t="s">
        <v>460</v>
      </c>
      <c r="G233">
        <v>2.96</v>
      </c>
    </row>
    <row r="234" spans="1:7" outlineLevel="1" collapsed="1" x14ac:dyDescent="0.3">
      <c r="B234" s="1" t="s">
        <v>862</v>
      </c>
      <c r="D234" t="str">
        <f>D233</f>
        <v>Male</v>
      </c>
      <c r="G234">
        <f>SUBTOTAL(9,G233:G233)</f>
        <v>2.96</v>
      </c>
    </row>
    <row r="235" spans="1:7" hidden="1" outlineLevel="2" x14ac:dyDescent="0.3">
      <c r="A235">
        <v>303</v>
      </c>
      <c r="B235" t="s">
        <v>422</v>
      </c>
      <c r="C235">
        <v>24</v>
      </c>
      <c r="D235" t="s">
        <v>8</v>
      </c>
      <c r="E235">
        <v>71</v>
      </c>
      <c r="F235" t="s">
        <v>62</v>
      </c>
      <c r="G235">
        <v>1.61</v>
      </c>
    </row>
    <row r="236" spans="1:7" outlineLevel="1" collapsed="1" x14ac:dyDescent="0.3">
      <c r="B236" s="1" t="s">
        <v>863</v>
      </c>
      <c r="D236" t="str">
        <f>D235</f>
        <v>Male</v>
      </c>
      <c r="G236">
        <f>SUBTOTAL(9,G235:G235)</f>
        <v>1.61</v>
      </c>
    </row>
    <row r="237" spans="1:7" hidden="1" outlineLevel="2" x14ac:dyDescent="0.3">
      <c r="A237">
        <v>381</v>
      </c>
      <c r="B237" t="s">
        <v>494</v>
      </c>
      <c r="C237">
        <v>16</v>
      </c>
      <c r="D237" t="s">
        <v>8</v>
      </c>
      <c r="E237">
        <v>83</v>
      </c>
      <c r="F237" t="s">
        <v>363</v>
      </c>
      <c r="G237">
        <v>3.33</v>
      </c>
    </row>
    <row r="238" spans="1:7" outlineLevel="1" collapsed="1" x14ac:dyDescent="0.3">
      <c r="B238" s="1" t="s">
        <v>864</v>
      </c>
      <c r="D238" t="str">
        <f>D237</f>
        <v>Male</v>
      </c>
      <c r="G238">
        <f>SUBTOTAL(9,G237:G237)</f>
        <v>3.33</v>
      </c>
    </row>
    <row r="239" spans="1:7" hidden="1" outlineLevel="2" x14ac:dyDescent="0.3">
      <c r="A239">
        <v>324</v>
      </c>
      <c r="B239" t="s">
        <v>440</v>
      </c>
      <c r="C239">
        <v>15</v>
      </c>
      <c r="D239" t="s">
        <v>8</v>
      </c>
      <c r="E239">
        <v>154</v>
      </c>
      <c r="F239" t="s">
        <v>290</v>
      </c>
      <c r="G239">
        <v>4.4000000000000004</v>
      </c>
    </row>
    <row r="240" spans="1:7" outlineLevel="1" collapsed="1" x14ac:dyDescent="0.3">
      <c r="B240" s="1" t="s">
        <v>865</v>
      </c>
      <c r="D240" t="str">
        <f>D239</f>
        <v>Male</v>
      </c>
      <c r="G240">
        <f>SUBTOTAL(9,G239:G239)</f>
        <v>4.4000000000000004</v>
      </c>
    </row>
    <row r="241" spans="1:7" hidden="1" outlineLevel="2" x14ac:dyDescent="0.3">
      <c r="A241">
        <v>517</v>
      </c>
      <c r="B241" t="s">
        <v>604</v>
      </c>
      <c r="C241">
        <v>39</v>
      </c>
      <c r="D241" t="s">
        <v>8</v>
      </c>
      <c r="E241">
        <v>128</v>
      </c>
      <c r="F241" t="s">
        <v>402</v>
      </c>
      <c r="G241">
        <v>4.91</v>
      </c>
    </row>
    <row r="242" spans="1:7" outlineLevel="1" collapsed="1" x14ac:dyDescent="0.3">
      <c r="B242" s="1" t="s">
        <v>866</v>
      </c>
      <c r="D242" t="str">
        <f>D241</f>
        <v>Male</v>
      </c>
      <c r="G242">
        <f>SUBTOTAL(9,G241:G241)</f>
        <v>4.91</v>
      </c>
    </row>
    <row r="243" spans="1:7" hidden="1" outlineLevel="2" x14ac:dyDescent="0.3">
      <c r="A243">
        <v>40</v>
      </c>
      <c r="B243" t="s">
        <v>88</v>
      </c>
      <c r="C243">
        <v>20</v>
      </c>
      <c r="D243" t="s">
        <v>8</v>
      </c>
      <c r="E243">
        <v>143</v>
      </c>
      <c r="F243" t="s">
        <v>11</v>
      </c>
      <c r="G243">
        <v>1.56</v>
      </c>
    </row>
    <row r="244" spans="1:7" outlineLevel="1" collapsed="1" x14ac:dyDescent="0.3">
      <c r="B244" s="1" t="s">
        <v>867</v>
      </c>
      <c r="D244" t="str">
        <f>D243</f>
        <v>Male</v>
      </c>
      <c r="G244">
        <f>SUBTOTAL(9,G243:G243)</f>
        <v>1.56</v>
      </c>
    </row>
    <row r="245" spans="1:7" hidden="1" outlineLevel="2" x14ac:dyDescent="0.3">
      <c r="A245">
        <v>236</v>
      </c>
      <c r="B245" t="s">
        <v>351</v>
      </c>
      <c r="C245">
        <v>16</v>
      </c>
      <c r="D245" t="s">
        <v>8</v>
      </c>
      <c r="E245">
        <v>107</v>
      </c>
      <c r="F245" t="s">
        <v>352</v>
      </c>
      <c r="G245">
        <v>2.1800000000000002</v>
      </c>
    </row>
    <row r="246" spans="1:7" outlineLevel="1" collapsed="1" x14ac:dyDescent="0.3">
      <c r="B246" s="1" t="s">
        <v>868</v>
      </c>
      <c r="D246" t="str">
        <f>D245</f>
        <v>Male</v>
      </c>
      <c r="G246">
        <f>SUBTOTAL(9,G245:G245)</f>
        <v>2.1800000000000002</v>
      </c>
    </row>
    <row r="247" spans="1:7" hidden="1" outlineLevel="2" x14ac:dyDescent="0.3">
      <c r="A247">
        <v>541</v>
      </c>
      <c r="B247" t="s">
        <v>621</v>
      </c>
      <c r="C247">
        <v>31</v>
      </c>
      <c r="D247" t="s">
        <v>8</v>
      </c>
      <c r="E247">
        <v>161</v>
      </c>
      <c r="F247" t="s">
        <v>44</v>
      </c>
      <c r="G247">
        <v>1.76</v>
      </c>
    </row>
    <row r="248" spans="1:7" outlineLevel="1" collapsed="1" x14ac:dyDescent="0.3">
      <c r="B248" s="1" t="s">
        <v>869</v>
      </c>
      <c r="D248" t="str">
        <f>D247</f>
        <v>Male</v>
      </c>
      <c r="G248">
        <f>SUBTOTAL(9,G247:G247)</f>
        <v>1.76</v>
      </c>
    </row>
    <row r="249" spans="1:7" hidden="1" outlineLevel="2" x14ac:dyDescent="0.3">
      <c r="A249">
        <v>124</v>
      </c>
      <c r="B249" t="s">
        <v>215</v>
      </c>
      <c r="C249">
        <v>21</v>
      </c>
      <c r="D249" t="s">
        <v>8</v>
      </c>
      <c r="E249">
        <v>150</v>
      </c>
      <c r="F249" t="s">
        <v>202</v>
      </c>
      <c r="G249">
        <v>2.85</v>
      </c>
    </row>
    <row r="250" spans="1:7" hidden="1" outlineLevel="2" x14ac:dyDescent="0.3">
      <c r="A250">
        <v>253</v>
      </c>
      <c r="B250" t="s">
        <v>215</v>
      </c>
      <c r="C250">
        <v>21</v>
      </c>
      <c r="D250" t="s">
        <v>8</v>
      </c>
      <c r="E250">
        <v>28</v>
      </c>
      <c r="F250" t="s">
        <v>371</v>
      </c>
      <c r="G250">
        <v>1.06</v>
      </c>
    </row>
    <row r="251" spans="1:7" outlineLevel="1" collapsed="1" x14ac:dyDescent="0.3">
      <c r="B251" s="1" t="s">
        <v>870</v>
      </c>
      <c r="D251" t="str">
        <f>D250</f>
        <v>Male</v>
      </c>
      <c r="G251">
        <f>SUBTOTAL(9,G249:G250)</f>
        <v>3.91</v>
      </c>
    </row>
    <row r="252" spans="1:7" hidden="1" outlineLevel="2" x14ac:dyDescent="0.3">
      <c r="A252">
        <v>309</v>
      </c>
      <c r="B252" t="s">
        <v>428</v>
      </c>
      <c r="C252">
        <v>25</v>
      </c>
      <c r="D252" t="s">
        <v>8</v>
      </c>
      <c r="E252">
        <v>170</v>
      </c>
      <c r="F252" t="s">
        <v>101</v>
      </c>
      <c r="G252">
        <v>3.97</v>
      </c>
    </row>
    <row r="253" spans="1:7" hidden="1" outlineLevel="2" x14ac:dyDescent="0.3">
      <c r="A253">
        <v>416</v>
      </c>
      <c r="B253" t="s">
        <v>428</v>
      </c>
      <c r="C253">
        <v>25</v>
      </c>
      <c r="D253" t="s">
        <v>8</v>
      </c>
      <c r="E253">
        <v>13</v>
      </c>
      <c r="F253" t="s">
        <v>204</v>
      </c>
      <c r="G253">
        <v>1.41</v>
      </c>
    </row>
    <row r="254" spans="1:7" outlineLevel="1" collapsed="1" x14ac:dyDescent="0.3">
      <c r="B254" s="1" t="s">
        <v>871</v>
      </c>
      <c r="D254" t="str">
        <f>D253</f>
        <v>Male</v>
      </c>
      <c r="G254">
        <f>SUBTOTAL(9,G252:G253)</f>
        <v>5.38</v>
      </c>
    </row>
    <row r="255" spans="1:7" hidden="1" outlineLevel="2" x14ac:dyDescent="0.3">
      <c r="A255">
        <v>468</v>
      </c>
      <c r="B255" t="s">
        <v>568</v>
      </c>
      <c r="C255">
        <v>23</v>
      </c>
      <c r="D255" t="s">
        <v>8</v>
      </c>
      <c r="E255">
        <v>30</v>
      </c>
      <c r="F255" t="s">
        <v>267</v>
      </c>
      <c r="G255">
        <v>2.21</v>
      </c>
    </row>
    <row r="256" spans="1:7" outlineLevel="1" collapsed="1" x14ac:dyDescent="0.3">
      <c r="B256" s="1" t="s">
        <v>872</v>
      </c>
      <c r="D256" t="str">
        <f>D255</f>
        <v>Male</v>
      </c>
      <c r="G256">
        <f>SUBTOTAL(9,G255:G255)</f>
        <v>2.21</v>
      </c>
    </row>
    <row r="257" spans="1:7" hidden="1" outlineLevel="2" x14ac:dyDescent="0.3">
      <c r="A257">
        <v>405</v>
      </c>
      <c r="B257" t="s">
        <v>516</v>
      </c>
      <c r="C257">
        <v>25</v>
      </c>
      <c r="D257" t="s">
        <v>8</v>
      </c>
      <c r="E257">
        <v>70</v>
      </c>
      <c r="F257" t="s">
        <v>379</v>
      </c>
      <c r="G257">
        <v>1.03</v>
      </c>
    </row>
    <row r="258" spans="1:7" outlineLevel="1" collapsed="1" x14ac:dyDescent="0.3">
      <c r="B258" s="1" t="s">
        <v>873</v>
      </c>
      <c r="D258" t="str">
        <f>D257</f>
        <v>Male</v>
      </c>
      <c r="G258">
        <f>SUBTOTAL(9,G257:G257)</f>
        <v>1.03</v>
      </c>
    </row>
    <row r="259" spans="1:7" hidden="1" outlineLevel="2" x14ac:dyDescent="0.3">
      <c r="A259">
        <v>219</v>
      </c>
      <c r="B259" t="s">
        <v>334</v>
      </c>
      <c r="C259">
        <v>19</v>
      </c>
      <c r="D259" t="s">
        <v>8</v>
      </c>
      <c r="E259">
        <v>57</v>
      </c>
      <c r="F259" t="s">
        <v>50</v>
      </c>
      <c r="G259">
        <v>4.5999999999999996</v>
      </c>
    </row>
    <row r="260" spans="1:7" outlineLevel="1" collapsed="1" x14ac:dyDescent="0.3">
      <c r="B260" s="1" t="s">
        <v>874</v>
      </c>
      <c r="D260" t="str">
        <f>D259</f>
        <v>Male</v>
      </c>
      <c r="G260">
        <f>SUBTOTAL(9,G259:G259)</f>
        <v>4.5999999999999996</v>
      </c>
    </row>
    <row r="261" spans="1:7" hidden="1" outlineLevel="2" x14ac:dyDescent="0.3">
      <c r="A261">
        <v>282</v>
      </c>
      <c r="B261" t="s">
        <v>398</v>
      </c>
      <c r="C261">
        <v>21</v>
      </c>
      <c r="D261" t="s">
        <v>8</v>
      </c>
      <c r="E261">
        <v>155</v>
      </c>
      <c r="F261" t="s">
        <v>399</v>
      </c>
      <c r="G261">
        <v>1.01</v>
      </c>
    </row>
    <row r="262" spans="1:7" outlineLevel="1" collapsed="1" x14ac:dyDescent="0.3">
      <c r="B262" s="1" t="s">
        <v>875</v>
      </c>
      <c r="D262" t="str">
        <f>D261</f>
        <v>Male</v>
      </c>
      <c r="G262">
        <f>SUBTOTAL(9,G261:G261)</f>
        <v>1.01</v>
      </c>
    </row>
    <row r="263" spans="1:7" hidden="1" outlineLevel="2" x14ac:dyDescent="0.3">
      <c r="A263">
        <v>720</v>
      </c>
      <c r="B263" t="s">
        <v>730</v>
      </c>
      <c r="C263">
        <v>19</v>
      </c>
      <c r="D263" t="s">
        <v>8</v>
      </c>
      <c r="E263">
        <v>159</v>
      </c>
      <c r="F263" t="s">
        <v>327</v>
      </c>
      <c r="G263">
        <v>3.08</v>
      </c>
    </row>
    <row r="264" spans="1:7" outlineLevel="1" collapsed="1" x14ac:dyDescent="0.3">
      <c r="B264" s="1" t="s">
        <v>876</v>
      </c>
      <c r="D264" t="str">
        <f>D263</f>
        <v>Male</v>
      </c>
      <c r="G264">
        <f>SUBTOTAL(9,G263:G263)</f>
        <v>3.08</v>
      </c>
    </row>
    <row r="265" spans="1:7" hidden="1" outlineLevel="2" x14ac:dyDescent="0.3">
      <c r="A265">
        <v>42</v>
      </c>
      <c r="B265" t="s">
        <v>91</v>
      </c>
      <c r="C265">
        <v>18</v>
      </c>
      <c r="D265" t="s">
        <v>8</v>
      </c>
      <c r="E265">
        <v>72</v>
      </c>
      <c r="F265" t="s">
        <v>92</v>
      </c>
      <c r="G265">
        <v>3.77</v>
      </c>
    </row>
    <row r="266" spans="1:7" hidden="1" outlineLevel="2" x14ac:dyDescent="0.3">
      <c r="A266">
        <v>146</v>
      </c>
      <c r="B266" t="s">
        <v>91</v>
      </c>
      <c r="C266">
        <v>18</v>
      </c>
      <c r="D266" t="s">
        <v>8</v>
      </c>
      <c r="E266">
        <v>133</v>
      </c>
      <c r="F266" t="s">
        <v>74</v>
      </c>
      <c r="G266">
        <v>4.09</v>
      </c>
    </row>
    <row r="267" spans="1:7" outlineLevel="1" collapsed="1" x14ac:dyDescent="0.3">
      <c r="B267" s="1" t="s">
        <v>877</v>
      </c>
      <c r="D267" t="str">
        <f>D266</f>
        <v>Male</v>
      </c>
      <c r="G267">
        <f>SUBTOTAL(9,G265:G266)</f>
        <v>7.8599999999999994</v>
      </c>
    </row>
    <row r="268" spans="1:7" hidden="1" outlineLevel="2" x14ac:dyDescent="0.3">
      <c r="A268">
        <v>730</v>
      </c>
      <c r="B268" t="s">
        <v>737</v>
      </c>
      <c r="C268">
        <v>30</v>
      </c>
      <c r="D268" t="s">
        <v>8</v>
      </c>
      <c r="E268">
        <v>178</v>
      </c>
      <c r="F268" t="s">
        <v>60</v>
      </c>
      <c r="G268">
        <v>4.2300000000000004</v>
      </c>
    </row>
    <row r="269" spans="1:7" outlineLevel="1" collapsed="1" x14ac:dyDescent="0.3">
      <c r="B269" s="1" t="s">
        <v>878</v>
      </c>
      <c r="D269" t="str">
        <f>D268</f>
        <v>Male</v>
      </c>
      <c r="G269">
        <f>SUBTOTAL(9,G268:G268)</f>
        <v>4.2300000000000004</v>
      </c>
    </row>
    <row r="270" spans="1:7" hidden="1" outlineLevel="2" x14ac:dyDescent="0.3">
      <c r="A270">
        <v>97</v>
      </c>
      <c r="B270" t="s">
        <v>177</v>
      </c>
      <c r="C270">
        <v>20</v>
      </c>
      <c r="D270" t="s">
        <v>8</v>
      </c>
      <c r="E270">
        <v>134</v>
      </c>
      <c r="F270" t="s">
        <v>178</v>
      </c>
      <c r="G270">
        <v>4.5</v>
      </c>
    </row>
    <row r="271" spans="1:7" hidden="1" outlineLevel="2" x14ac:dyDescent="0.3">
      <c r="A271">
        <v>670</v>
      </c>
      <c r="B271" t="s">
        <v>177</v>
      </c>
      <c r="C271">
        <v>20</v>
      </c>
      <c r="D271" t="s">
        <v>8</v>
      </c>
      <c r="E271">
        <v>120</v>
      </c>
      <c r="F271" t="s">
        <v>225</v>
      </c>
      <c r="G271">
        <v>3.08</v>
      </c>
    </row>
    <row r="272" spans="1:7" outlineLevel="1" collapsed="1" x14ac:dyDescent="0.3">
      <c r="B272" s="1" t="s">
        <v>879</v>
      </c>
      <c r="D272" t="str">
        <f>D271</f>
        <v>Male</v>
      </c>
      <c r="G272">
        <f>SUBTOTAL(9,G270:G271)</f>
        <v>7.58</v>
      </c>
    </row>
    <row r="273" spans="1:7" hidden="1" outlineLevel="2" x14ac:dyDescent="0.3">
      <c r="A273">
        <v>523</v>
      </c>
      <c r="B273" t="s">
        <v>607</v>
      </c>
      <c r="C273">
        <v>24</v>
      </c>
      <c r="D273" t="s">
        <v>8</v>
      </c>
      <c r="E273">
        <v>21</v>
      </c>
      <c r="F273" t="s">
        <v>25</v>
      </c>
      <c r="G273">
        <v>1.1000000000000001</v>
      </c>
    </row>
    <row r="274" spans="1:7" outlineLevel="1" collapsed="1" x14ac:dyDescent="0.3">
      <c r="B274" s="1" t="s">
        <v>880</v>
      </c>
      <c r="D274" t="str">
        <f>D273</f>
        <v>Male</v>
      </c>
      <c r="G274">
        <f>SUBTOTAL(9,G273:G273)</f>
        <v>1.1000000000000001</v>
      </c>
    </row>
    <row r="275" spans="1:7" hidden="1" outlineLevel="2" x14ac:dyDescent="0.3">
      <c r="A275">
        <v>83</v>
      </c>
      <c r="B275" t="s">
        <v>157</v>
      </c>
      <c r="C275">
        <v>25</v>
      </c>
      <c r="D275" t="s">
        <v>8</v>
      </c>
      <c r="E275">
        <v>12</v>
      </c>
      <c r="F275" t="s">
        <v>158</v>
      </c>
      <c r="G275">
        <v>1.02</v>
      </c>
    </row>
    <row r="276" spans="1:7" hidden="1" outlineLevel="2" x14ac:dyDescent="0.3">
      <c r="A276">
        <v>363</v>
      </c>
      <c r="B276" t="s">
        <v>157</v>
      </c>
      <c r="C276">
        <v>25</v>
      </c>
      <c r="D276" t="s">
        <v>8</v>
      </c>
      <c r="E276">
        <v>45</v>
      </c>
      <c r="F276" t="s">
        <v>453</v>
      </c>
      <c r="G276">
        <v>3.85</v>
      </c>
    </row>
    <row r="277" spans="1:7" hidden="1" outlineLevel="2" x14ac:dyDescent="0.3">
      <c r="A277">
        <v>373</v>
      </c>
      <c r="B277" t="s">
        <v>157</v>
      </c>
      <c r="C277">
        <v>25</v>
      </c>
      <c r="D277" t="s">
        <v>8</v>
      </c>
      <c r="E277">
        <v>103</v>
      </c>
      <c r="F277" t="s">
        <v>280</v>
      </c>
      <c r="G277">
        <v>4.3499999999999996</v>
      </c>
    </row>
    <row r="278" spans="1:7" outlineLevel="1" collapsed="1" x14ac:dyDescent="0.3">
      <c r="B278" s="1" t="s">
        <v>881</v>
      </c>
      <c r="D278" t="str">
        <f>D277</f>
        <v>Male</v>
      </c>
      <c r="G278">
        <f>SUBTOTAL(9,G275:G277)</f>
        <v>9.2199999999999989</v>
      </c>
    </row>
    <row r="279" spans="1:7" hidden="1" outlineLevel="2" x14ac:dyDescent="0.3">
      <c r="A279">
        <v>94</v>
      </c>
      <c r="B279" t="s">
        <v>173</v>
      </c>
      <c r="C279">
        <v>19</v>
      </c>
      <c r="D279" t="s">
        <v>8</v>
      </c>
      <c r="E279">
        <v>96</v>
      </c>
      <c r="F279" t="s">
        <v>64</v>
      </c>
      <c r="G279">
        <v>3.09</v>
      </c>
    </row>
    <row r="280" spans="1:7" outlineLevel="1" collapsed="1" x14ac:dyDescent="0.3">
      <c r="B280" s="1" t="s">
        <v>882</v>
      </c>
      <c r="D280" t="str">
        <f>D279</f>
        <v>Male</v>
      </c>
      <c r="G280">
        <f>SUBTOTAL(9,G279:G279)</f>
        <v>3.09</v>
      </c>
    </row>
    <row r="281" spans="1:7" hidden="1" outlineLevel="2" x14ac:dyDescent="0.3">
      <c r="A281">
        <v>184</v>
      </c>
      <c r="B281" t="s">
        <v>292</v>
      </c>
      <c r="C281">
        <v>28</v>
      </c>
      <c r="D281" t="s">
        <v>8</v>
      </c>
      <c r="E281">
        <v>32</v>
      </c>
      <c r="F281" t="s">
        <v>293</v>
      </c>
      <c r="G281">
        <v>1.1399999999999999</v>
      </c>
    </row>
    <row r="282" spans="1:7" outlineLevel="1" collapsed="1" x14ac:dyDescent="0.3">
      <c r="B282" s="1" t="s">
        <v>883</v>
      </c>
      <c r="D282" t="str">
        <f>D281</f>
        <v>Male</v>
      </c>
      <c r="G282">
        <f>SUBTOTAL(9,G281:G281)</f>
        <v>1.1399999999999999</v>
      </c>
    </row>
    <row r="283" spans="1:7" hidden="1" outlineLevel="2" x14ac:dyDescent="0.3">
      <c r="A283">
        <v>423</v>
      </c>
      <c r="B283" t="s">
        <v>529</v>
      </c>
      <c r="C283">
        <v>24</v>
      </c>
      <c r="D283" t="s">
        <v>8</v>
      </c>
      <c r="E283">
        <v>10</v>
      </c>
      <c r="F283" t="s">
        <v>187</v>
      </c>
      <c r="G283">
        <v>1.79</v>
      </c>
    </row>
    <row r="284" spans="1:7" outlineLevel="1" collapsed="1" x14ac:dyDescent="0.3">
      <c r="B284" s="1" t="s">
        <v>884</v>
      </c>
      <c r="D284" t="str">
        <f>D283</f>
        <v>Male</v>
      </c>
      <c r="G284">
        <f>SUBTOTAL(9,G283:G283)</f>
        <v>1.79</v>
      </c>
    </row>
    <row r="285" spans="1:7" hidden="1" outlineLevel="2" x14ac:dyDescent="0.3">
      <c r="A285">
        <v>703</v>
      </c>
      <c r="B285" t="s">
        <v>720</v>
      </c>
      <c r="C285">
        <v>21</v>
      </c>
      <c r="D285" t="s">
        <v>8</v>
      </c>
      <c r="E285">
        <v>160</v>
      </c>
      <c r="F285" t="s">
        <v>78</v>
      </c>
      <c r="G285">
        <v>4.4000000000000004</v>
      </c>
    </row>
    <row r="286" spans="1:7" hidden="1" outlineLevel="2" x14ac:dyDescent="0.3">
      <c r="A286">
        <v>760</v>
      </c>
      <c r="B286" t="s">
        <v>720</v>
      </c>
      <c r="C286">
        <v>21</v>
      </c>
      <c r="D286" t="s">
        <v>8</v>
      </c>
      <c r="E286">
        <v>44</v>
      </c>
      <c r="F286" t="s">
        <v>76</v>
      </c>
      <c r="G286">
        <v>2.38</v>
      </c>
    </row>
    <row r="287" spans="1:7" outlineLevel="1" collapsed="1" x14ac:dyDescent="0.3">
      <c r="B287" s="1" t="s">
        <v>885</v>
      </c>
      <c r="D287" t="str">
        <f>D286</f>
        <v>Male</v>
      </c>
      <c r="G287">
        <f>SUBTOTAL(9,G285:G286)</f>
        <v>6.78</v>
      </c>
    </row>
    <row r="288" spans="1:7" hidden="1" outlineLevel="2" x14ac:dyDescent="0.3">
      <c r="A288">
        <v>295</v>
      </c>
      <c r="B288" t="s">
        <v>414</v>
      </c>
      <c r="C288">
        <v>23</v>
      </c>
      <c r="D288" t="s">
        <v>8</v>
      </c>
      <c r="E288">
        <v>52</v>
      </c>
      <c r="F288" t="s">
        <v>415</v>
      </c>
      <c r="G288">
        <v>4.84</v>
      </c>
    </row>
    <row r="289" spans="1:7" outlineLevel="1" collapsed="1" x14ac:dyDescent="0.3">
      <c r="B289" s="1" t="s">
        <v>886</v>
      </c>
      <c r="D289" t="str">
        <f>D288</f>
        <v>Male</v>
      </c>
      <c r="G289">
        <f>SUBTOTAL(9,G288:G288)</f>
        <v>4.84</v>
      </c>
    </row>
    <row r="290" spans="1:7" hidden="1" outlineLevel="2" x14ac:dyDescent="0.3">
      <c r="A290">
        <v>494</v>
      </c>
      <c r="B290" t="s">
        <v>588</v>
      </c>
      <c r="C290">
        <v>30</v>
      </c>
      <c r="D290" t="s">
        <v>8</v>
      </c>
      <c r="E290">
        <v>3</v>
      </c>
      <c r="F290" t="s">
        <v>259</v>
      </c>
      <c r="G290">
        <v>2.4900000000000002</v>
      </c>
    </row>
    <row r="291" spans="1:7" outlineLevel="1" collapsed="1" x14ac:dyDescent="0.3">
      <c r="B291" s="1" t="s">
        <v>887</v>
      </c>
      <c r="D291" t="str">
        <f>D290</f>
        <v>Male</v>
      </c>
      <c r="G291">
        <f>SUBTOTAL(9,G290:G290)</f>
        <v>2.4900000000000002</v>
      </c>
    </row>
    <row r="292" spans="1:7" hidden="1" outlineLevel="2" x14ac:dyDescent="0.3">
      <c r="A292">
        <v>285</v>
      </c>
      <c r="B292" t="s">
        <v>403</v>
      </c>
      <c r="C292">
        <v>26</v>
      </c>
      <c r="D292" t="s">
        <v>8</v>
      </c>
      <c r="E292">
        <v>163</v>
      </c>
      <c r="F292" t="s">
        <v>350</v>
      </c>
      <c r="G292">
        <v>3.45</v>
      </c>
    </row>
    <row r="293" spans="1:7" outlineLevel="1" collapsed="1" x14ac:dyDescent="0.3">
      <c r="B293" s="1" t="s">
        <v>888</v>
      </c>
      <c r="D293" t="str">
        <f>D292</f>
        <v>Male</v>
      </c>
      <c r="G293">
        <f>SUBTOTAL(9,G292:G292)</f>
        <v>3.45</v>
      </c>
    </row>
    <row r="294" spans="1:7" hidden="1" outlineLevel="2" x14ac:dyDescent="0.3">
      <c r="A294">
        <v>391</v>
      </c>
      <c r="B294" t="s">
        <v>504</v>
      </c>
      <c r="C294">
        <v>18</v>
      </c>
      <c r="D294" t="s">
        <v>8</v>
      </c>
      <c r="E294">
        <v>20</v>
      </c>
      <c r="F294" t="s">
        <v>150</v>
      </c>
      <c r="G294">
        <v>3.27</v>
      </c>
    </row>
    <row r="295" spans="1:7" outlineLevel="1" collapsed="1" x14ac:dyDescent="0.3">
      <c r="B295" s="1" t="s">
        <v>889</v>
      </c>
      <c r="D295" t="str">
        <f>D294</f>
        <v>Male</v>
      </c>
      <c r="G295">
        <f>SUBTOTAL(9,G294:G294)</f>
        <v>3.27</v>
      </c>
    </row>
    <row r="296" spans="1:7" hidden="1" outlineLevel="2" x14ac:dyDescent="0.3">
      <c r="A296">
        <v>360</v>
      </c>
      <c r="B296" t="s">
        <v>475</v>
      </c>
      <c r="C296">
        <v>29</v>
      </c>
      <c r="D296" t="s">
        <v>8</v>
      </c>
      <c r="E296">
        <v>14</v>
      </c>
      <c r="F296" t="s">
        <v>476</v>
      </c>
      <c r="G296">
        <v>2.61</v>
      </c>
    </row>
    <row r="297" spans="1:7" hidden="1" outlineLevel="2" x14ac:dyDescent="0.3">
      <c r="A297">
        <v>635</v>
      </c>
      <c r="B297" t="s">
        <v>475</v>
      </c>
      <c r="C297">
        <v>29</v>
      </c>
      <c r="D297" t="s">
        <v>8</v>
      </c>
      <c r="E297">
        <v>4</v>
      </c>
      <c r="F297" t="s">
        <v>35</v>
      </c>
      <c r="G297">
        <v>1.7</v>
      </c>
    </row>
    <row r="298" spans="1:7" outlineLevel="1" collapsed="1" x14ac:dyDescent="0.3">
      <c r="B298" s="1" t="s">
        <v>890</v>
      </c>
      <c r="D298" t="str">
        <f>D297</f>
        <v>Male</v>
      </c>
      <c r="G298">
        <f>SUBTOTAL(9,G296:G297)</f>
        <v>4.3099999999999996</v>
      </c>
    </row>
    <row r="299" spans="1:7" hidden="1" outlineLevel="2" x14ac:dyDescent="0.3">
      <c r="A299">
        <v>226</v>
      </c>
      <c r="B299" t="s">
        <v>340</v>
      </c>
      <c r="C299">
        <v>25</v>
      </c>
      <c r="D299" t="s">
        <v>8</v>
      </c>
      <c r="E299">
        <v>54</v>
      </c>
      <c r="F299" t="s">
        <v>189</v>
      </c>
      <c r="G299">
        <v>2.5</v>
      </c>
    </row>
    <row r="300" spans="1:7" outlineLevel="1" collapsed="1" x14ac:dyDescent="0.3">
      <c r="B300" s="1" t="s">
        <v>891</v>
      </c>
      <c r="D300" t="str">
        <f>D299</f>
        <v>Male</v>
      </c>
      <c r="G300">
        <f>SUBTOTAL(9,G299:G299)</f>
        <v>2.5</v>
      </c>
    </row>
    <row r="301" spans="1:7" hidden="1" outlineLevel="2" x14ac:dyDescent="0.3">
      <c r="A301">
        <v>63</v>
      </c>
      <c r="B301" t="s">
        <v>127</v>
      </c>
      <c r="C301">
        <v>20</v>
      </c>
      <c r="D301" t="s">
        <v>8</v>
      </c>
      <c r="E301">
        <v>125</v>
      </c>
      <c r="F301" t="s">
        <v>128</v>
      </c>
      <c r="G301">
        <v>1</v>
      </c>
    </row>
    <row r="302" spans="1:7" outlineLevel="1" collapsed="1" x14ac:dyDescent="0.3">
      <c r="B302" s="1" t="s">
        <v>892</v>
      </c>
      <c r="D302" t="str">
        <f>D301</f>
        <v>Male</v>
      </c>
      <c r="G302">
        <f>SUBTOTAL(9,G301:G301)</f>
        <v>1</v>
      </c>
    </row>
    <row r="303" spans="1:7" hidden="1" outlineLevel="2" x14ac:dyDescent="0.3">
      <c r="A303">
        <v>272</v>
      </c>
      <c r="B303" t="s">
        <v>389</v>
      </c>
      <c r="C303">
        <v>8</v>
      </c>
      <c r="D303" t="s">
        <v>8</v>
      </c>
      <c r="E303">
        <v>133</v>
      </c>
      <c r="F303" t="s">
        <v>74</v>
      </c>
      <c r="G303">
        <v>4.09</v>
      </c>
    </row>
    <row r="304" spans="1:7" hidden="1" outlineLevel="2" x14ac:dyDescent="0.3">
      <c r="A304">
        <v>311</v>
      </c>
      <c r="B304" t="s">
        <v>389</v>
      </c>
      <c r="C304">
        <v>8</v>
      </c>
      <c r="D304" t="s">
        <v>8</v>
      </c>
      <c r="E304">
        <v>71</v>
      </c>
      <c r="F304" t="s">
        <v>62</v>
      </c>
      <c r="G304">
        <v>1.61</v>
      </c>
    </row>
    <row r="305" spans="1:7" outlineLevel="1" collapsed="1" x14ac:dyDescent="0.3">
      <c r="B305" s="1" t="s">
        <v>893</v>
      </c>
      <c r="D305" t="str">
        <f>D304</f>
        <v>Male</v>
      </c>
      <c r="G305">
        <f>SUBTOTAL(9,G303:G304)</f>
        <v>5.7</v>
      </c>
    </row>
    <row r="306" spans="1:7" hidden="1" outlineLevel="2" x14ac:dyDescent="0.3">
      <c r="A306">
        <v>398</v>
      </c>
      <c r="B306" t="s">
        <v>511</v>
      </c>
      <c r="C306">
        <v>34</v>
      </c>
      <c r="D306" t="s">
        <v>8</v>
      </c>
      <c r="E306">
        <v>96</v>
      </c>
      <c r="F306" t="s">
        <v>64</v>
      </c>
      <c r="G306">
        <v>3.09</v>
      </c>
    </row>
    <row r="307" spans="1:7" hidden="1" outlineLevel="2" x14ac:dyDescent="0.3">
      <c r="A307">
        <v>544</v>
      </c>
      <c r="B307" t="s">
        <v>511</v>
      </c>
      <c r="C307">
        <v>34</v>
      </c>
      <c r="D307" t="s">
        <v>8</v>
      </c>
      <c r="E307">
        <v>3</v>
      </c>
      <c r="F307" t="s">
        <v>259</v>
      </c>
      <c r="G307">
        <v>2.4900000000000002</v>
      </c>
    </row>
    <row r="308" spans="1:7" outlineLevel="1" collapsed="1" x14ac:dyDescent="0.3">
      <c r="B308" s="1" t="s">
        <v>894</v>
      </c>
      <c r="D308" t="str">
        <f>D307</f>
        <v>Male</v>
      </c>
      <c r="G308">
        <f>SUBTOTAL(9,G306:G307)</f>
        <v>5.58</v>
      </c>
    </row>
    <row r="309" spans="1:7" hidden="1" outlineLevel="2" x14ac:dyDescent="0.3">
      <c r="A309">
        <v>566</v>
      </c>
      <c r="B309" t="s">
        <v>636</v>
      </c>
      <c r="C309">
        <v>20</v>
      </c>
      <c r="D309" t="s">
        <v>8</v>
      </c>
      <c r="E309">
        <v>31</v>
      </c>
      <c r="F309" t="s">
        <v>482</v>
      </c>
      <c r="G309">
        <v>1.55</v>
      </c>
    </row>
    <row r="310" spans="1:7" outlineLevel="1" collapsed="1" x14ac:dyDescent="0.3">
      <c r="B310" s="1" t="s">
        <v>895</v>
      </c>
      <c r="D310" t="str">
        <f>D309</f>
        <v>Male</v>
      </c>
      <c r="G310">
        <f>SUBTOTAL(9,G309:G309)</f>
        <v>1.55</v>
      </c>
    </row>
    <row r="311" spans="1:7" hidden="1" outlineLevel="2" x14ac:dyDescent="0.3">
      <c r="A311">
        <v>627</v>
      </c>
      <c r="B311" t="s">
        <v>671</v>
      </c>
      <c r="C311">
        <v>25</v>
      </c>
      <c r="D311" t="s">
        <v>8</v>
      </c>
      <c r="E311">
        <v>178</v>
      </c>
      <c r="F311" t="s">
        <v>60</v>
      </c>
      <c r="G311">
        <v>4.2300000000000004</v>
      </c>
    </row>
    <row r="312" spans="1:7" hidden="1" outlineLevel="2" x14ac:dyDescent="0.3">
      <c r="A312">
        <v>734</v>
      </c>
      <c r="B312" t="s">
        <v>671</v>
      </c>
      <c r="C312">
        <v>25</v>
      </c>
      <c r="D312" t="s">
        <v>8</v>
      </c>
      <c r="E312">
        <v>165</v>
      </c>
      <c r="F312" t="s">
        <v>37</v>
      </c>
      <c r="G312">
        <v>4.8600000000000003</v>
      </c>
    </row>
    <row r="313" spans="1:7" outlineLevel="1" collapsed="1" x14ac:dyDescent="0.3">
      <c r="B313" s="1" t="s">
        <v>896</v>
      </c>
      <c r="D313" t="str">
        <f>D312</f>
        <v>Male</v>
      </c>
      <c r="G313">
        <f>SUBTOTAL(9,G311:G312)</f>
        <v>9.09</v>
      </c>
    </row>
    <row r="314" spans="1:7" hidden="1" outlineLevel="2" x14ac:dyDescent="0.3">
      <c r="A314">
        <v>470</v>
      </c>
      <c r="B314" t="s">
        <v>570</v>
      </c>
      <c r="C314">
        <v>29</v>
      </c>
      <c r="D314" t="s">
        <v>8</v>
      </c>
      <c r="E314">
        <v>4</v>
      </c>
      <c r="F314" t="s">
        <v>35</v>
      </c>
      <c r="G314">
        <v>1.7</v>
      </c>
    </row>
    <row r="315" spans="1:7" outlineLevel="1" collapsed="1" x14ac:dyDescent="0.3">
      <c r="B315" s="1" t="s">
        <v>897</v>
      </c>
      <c r="D315" t="str">
        <f>D314</f>
        <v>Male</v>
      </c>
      <c r="G315">
        <f>SUBTOTAL(9,G314:G314)</f>
        <v>1.7</v>
      </c>
    </row>
    <row r="316" spans="1:7" hidden="1" outlineLevel="2" x14ac:dyDescent="0.3">
      <c r="A316">
        <v>631</v>
      </c>
      <c r="B316" t="s">
        <v>673</v>
      </c>
      <c r="C316">
        <v>27</v>
      </c>
      <c r="D316" t="s">
        <v>8</v>
      </c>
      <c r="E316">
        <v>137</v>
      </c>
      <c r="F316" t="s">
        <v>330</v>
      </c>
      <c r="G316">
        <v>3.39</v>
      </c>
    </row>
    <row r="317" spans="1:7" outlineLevel="1" collapsed="1" x14ac:dyDescent="0.3">
      <c r="B317" s="1" t="s">
        <v>898</v>
      </c>
      <c r="D317" t="str">
        <f>D316</f>
        <v>Male</v>
      </c>
      <c r="G317">
        <f>SUBTOTAL(9,G316:G316)</f>
        <v>3.39</v>
      </c>
    </row>
    <row r="318" spans="1:7" hidden="1" outlineLevel="2" x14ac:dyDescent="0.3">
      <c r="A318">
        <v>270</v>
      </c>
      <c r="B318" t="s">
        <v>386</v>
      </c>
      <c r="C318">
        <v>38</v>
      </c>
      <c r="D318" t="s">
        <v>8</v>
      </c>
      <c r="E318">
        <v>85</v>
      </c>
      <c r="F318" t="s">
        <v>193</v>
      </c>
      <c r="G318">
        <v>1.75</v>
      </c>
    </row>
    <row r="319" spans="1:7" hidden="1" outlineLevel="2" x14ac:dyDescent="0.3">
      <c r="A319">
        <v>768</v>
      </c>
      <c r="B319" t="s">
        <v>386</v>
      </c>
      <c r="C319">
        <v>38</v>
      </c>
      <c r="D319" t="s">
        <v>8</v>
      </c>
      <c r="E319">
        <v>92</v>
      </c>
      <c r="F319" t="s">
        <v>13</v>
      </c>
      <c r="G319">
        <v>4.88</v>
      </c>
    </row>
    <row r="320" spans="1:7" outlineLevel="1" collapsed="1" x14ac:dyDescent="0.3">
      <c r="B320" s="1" t="s">
        <v>899</v>
      </c>
      <c r="D320" t="str">
        <f>D319</f>
        <v>Male</v>
      </c>
      <c r="G320">
        <f>SUBTOTAL(9,G318:G319)</f>
        <v>6.63</v>
      </c>
    </row>
    <row r="321" spans="1:7" hidden="1" outlineLevel="2" x14ac:dyDescent="0.3">
      <c r="A321">
        <v>565</v>
      </c>
      <c r="B321" t="s">
        <v>635</v>
      </c>
      <c r="C321">
        <v>20</v>
      </c>
      <c r="D321" t="s">
        <v>8</v>
      </c>
      <c r="E321">
        <v>179</v>
      </c>
      <c r="F321" t="s">
        <v>72</v>
      </c>
      <c r="G321">
        <v>4.4800000000000004</v>
      </c>
    </row>
    <row r="322" spans="1:7" outlineLevel="1" collapsed="1" x14ac:dyDescent="0.3">
      <c r="B322" s="1" t="s">
        <v>900</v>
      </c>
      <c r="D322" t="str">
        <f>D321</f>
        <v>Male</v>
      </c>
      <c r="G322">
        <f>SUBTOTAL(9,G321:G321)</f>
        <v>4.4800000000000004</v>
      </c>
    </row>
    <row r="323" spans="1:7" hidden="1" outlineLevel="2" x14ac:dyDescent="0.3">
      <c r="A323">
        <v>258</v>
      </c>
      <c r="B323" t="s">
        <v>376</v>
      </c>
      <c r="C323">
        <v>26</v>
      </c>
      <c r="D323" t="s">
        <v>8</v>
      </c>
      <c r="E323">
        <v>149</v>
      </c>
      <c r="F323" t="s">
        <v>320</v>
      </c>
      <c r="G323">
        <v>1.75</v>
      </c>
    </row>
    <row r="324" spans="1:7" outlineLevel="1" collapsed="1" x14ac:dyDescent="0.3">
      <c r="B324" s="1" t="s">
        <v>901</v>
      </c>
      <c r="D324" t="str">
        <f>D323</f>
        <v>Male</v>
      </c>
      <c r="G324">
        <f>SUBTOTAL(9,G323:G323)</f>
        <v>1.75</v>
      </c>
    </row>
    <row r="325" spans="1:7" hidden="1" outlineLevel="2" x14ac:dyDescent="0.3">
      <c r="A325">
        <v>420</v>
      </c>
      <c r="B325" t="s">
        <v>526</v>
      </c>
      <c r="C325">
        <v>23</v>
      </c>
      <c r="D325" t="s">
        <v>8</v>
      </c>
      <c r="E325">
        <v>129</v>
      </c>
      <c r="F325" t="s">
        <v>163</v>
      </c>
      <c r="G325">
        <v>1.54</v>
      </c>
    </row>
    <row r="326" spans="1:7" outlineLevel="1" collapsed="1" x14ac:dyDescent="0.3">
      <c r="B326" s="1" t="s">
        <v>902</v>
      </c>
      <c r="D326" t="str">
        <f>D325</f>
        <v>Male</v>
      </c>
      <c r="G326">
        <f>SUBTOTAL(9,G325:G325)</f>
        <v>1.54</v>
      </c>
    </row>
    <row r="327" spans="1:7" hidden="1" outlineLevel="2" x14ac:dyDescent="0.3">
      <c r="A327">
        <v>761</v>
      </c>
      <c r="B327" t="s">
        <v>756</v>
      </c>
      <c r="C327">
        <v>45</v>
      </c>
      <c r="D327" t="s">
        <v>8</v>
      </c>
      <c r="E327">
        <v>17</v>
      </c>
      <c r="F327" t="s">
        <v>166</v>
      </c>
      <c r="G327">
        <v>1.7</v>
      </c>
    </row>
    <row r="328" spans="1:7" outlineLevel="1" collapsed="1" x14ac:dyDescent="0.3">
      <c r="B328" s="1" t="s">
        <v>903</v>
      </c>
      <c r="D328" t="str">
        <f>D327</f>
        <v>Male</v>
      </c>
      <c r="G328">
        <f>SUBTOTAL(9,G327:G327)</f>
        <v>1.7</v>
      </c>
    </row>
    <row r="329" spans="1:7" hidden="1" outlineLevel="2" x14ac:dyDescent="0.3">
      <c r="A329">
        <v>587</v>
      </c>
      <c r="B329" t="s">
        <v>650</v>
      </c>
      <c r="C329">
        <v>22</v>
      </c>
      <c r="D329" t="s">
        <v>8</v>
      </c>
      <c r="E329">
        <v>141</v>
      </c>
      <c r="F329" t="s">
        <v>58</v>
      </c>
      <c r="G329">
        <v>3.19</v>
      </c>
    </row>
    <row r="330" spans="1:7" outlineLevel="1" collapsed="1" x14ac:dyDescent="0.3">
      <c r="B330" s="1" t="s">
        <v>904</v>
      </c>
      <c r="D330" t="str">
        <f>D329</f>
        <v>Male</v>
      </c>
      <c r="G330">
        <f>SUBTOTAL(9,G329:G329)</f>
        <v>3.19</v>
      </c>
    </row>
    <row r="331" spans="1:7" hidden="1" outlineLevel="2" x14ac:dyDescent="0.3">
      <c r="A331">
        <v>73</v>
      </c>
      <c r="B331" t="s">
        <v>142</v>
      </c>
      <c r="C331">
        <v>21</v>
      </c>
      <c r="D331" t="s">
        <v>8</v>
      </c>
      <c r="E331">
        <v>68</v>
      </c>
      <c r="F331" t="s">
        <v>143</v>
      </c>
      <c r="G331">
        <v>4.32</v>
      </c>
    </row>
    <row r="332" spans="1:7" hidden="1" outlineLevel="2" x14ac:dyDescent="0.3">
      <c r="A332">
        <v>351</v>
      </c>
      <c r="B332" t="s">
        <v>142</v>
      </c>
      <c r="C332">
        <v>21</v>
      </c>
      <c r="D332" t="s">
        <v>8</v>
      </c>
      <c r="E332">
        <v>121</v>
      </c>
      <c r="F332" t="s">
        <v>463</v>
      </c>
      <c r="G332">
        <v>1.6</v>
      </c>
    </row>
    <row r="333" spans="1:7" outlineLevel="1" collapsed="1" x14ac:dyDescent="0.3">
      <c r="B333" s="1" t="s">
        <v>905</v>
      </c>
      <c r="D333" t="str">
        <f>D332</f>
        <v>Male</v>
      </c>
      <c r="G333">
        <f>SUBTOTAL(9,G331:G332)</f>
        <v>5.92</v>
      </c>
    </row>
    <row r="334" spans="1:7" hidden="1" outlineLevel="2" x14ac:dyDescent="0.3">
      <c r="A334">
        <v>460</v>
      </c>
      <c r="B334" t="s">
        <v>560</v>
      </c>
      <c r="C334">
        <v>25</v>
      </c>
      <c r="D334" t="s">
        <v>8</v>
      </c>
      <c r="E334">
        <v>103</v>
      </c>
      <c r="F334" t="s">
        <v>280</v>
      </c>
      <c r="G334">
        <v>4.3499999999999996</v>
      </c>
    </row>
    <row r="335" spans="1:7" outlineLevel="1" collapsed="1" x14ac:dyDescent="0.3">
      <c r="B335" s="1" t="s">
        <v>906</v>
      </c>
      <c r="D335" t="str">
        <f>D334</f>
        <v>Male</v>
      </c>
      <c r="G335">
        <f>SUBTOTAL(9,G334:G334)</f>
        <v>4.3499999999999996</v>
      </c>
    </row>
    <row r="336" spans="1:7" hidden="1" outlineLevel="2" x14ac:dyDescent="0.3">
      <c r="A336">
        <v>79</v>
      </c>
      <c r="B336" t="s">
        <v>152</v>
      </c>
      <c r="C336">
        <v>26</v>
      </c>
      <c r="D336" t="s">
        <v>8</v>
      </c>
      <c r="E336">
        <v>15</v>
      </c>
      <c r="F336" t="s">
        <v>108</v>
      </c>
      <c r="G336">
        <v>2.96</v>
      </c>
    </row>
    <row r="337" spans="1:7" outlineLevel="1" collapsed="1" x14ac:dyDescent="0.3">
      <c r="B337" s="1" t="s">
        <v>907</v>
      </c>
      <c r="D337" t="str">
        <f>D336</f>
        <v>Male</v>
      </c>
      <c r="G337">
        <f>SUBTOTAL(9,G336:G336)</f>
        <v>2.96</v>
      </c>
    </row>
    <row r="338" spans="1:7" hidden="1" outlineLevel="2" x14ac:dyDescent="0.3">
      <c r="A338">
        <v>13</v>
      </c>
      <c r="B338" t="s">
        <v>34</v>
      </c>
      <c r="C338">
        <v>22</v>
      </c>
      <c r="D338" t="s">
        <v>8</v>
      </c>
      <c r="E338">
        <v>4</v>
      </c>
      <c r="F338" t="s">
        <v>35</v>
      </c>
      <c r="G338">
        <v>1.7</v>
      </c>
    </row>
    <row r="339" spans="1:7" outlineLevel="1" collapsed="1" x14ac:dyDescent="0.3">
      <c r="B339" s="1" t="s">
        <v>908</v>
      </c>
      <c r="D339" t="str">
        <f>D338</f>
        <v>Male</v>
      </c>
      <c r="G339">
        <f>SUBTOTAL(9,G338:G338)</f>
        <v>1.7</v>
      </c>
    </row>
    <row r="340" spans="1:7" hidden="1" outlineLevel="2" x14ac:dyDescent="0.3">
      <c r="A340">
        <v>729</v>
      </c>
      <c r="B340" t="s">
        <v>736</v>
      </c>
      <c r="C340">
        <v>20</v>
      </c>
      <c r="D340" t="s">
        <v>8</v>
      </c>
      <c r="E340">
        <v>74</v>
      </c>
      <c r="F340" t="s">
        <v>223</v>
      </c>
      <c r="G340">
        <v>4.18</v>
      </c>
    </row>
    <row r="341" spans="1:7" outlineLevel="1" collapsed="1" x14ac:dyDescent="0.3">
      <c r="B341" s="1" t="s">
        <v>909</v>
      </c>
      <c r="D341" t="str">
        <f>D340</f>
        <v>Male</v>
      </c>
      <c r="G341">
        <f>SUBTOTAL(9,G340:G340)</f>
        <v>4.18</v>
      </c>
    </row>
    <row r="342" spans="1:7" hidden="1" outlineLevel="2" x14ac:dyDescent="0.3">
      <c r="A342">
        <v>680</v>
      </c>
      <c r="B342" t="s">
        <v>707</v>
      </c>
      <c r="C342">
        <v>25</v>
      </c>
      <c r="D342" t="s">
        <v>8</v>
      </c>
      <c r="E342">
        <v>96</v>
      </c>
      <c r="F342" t="s">
        <v>64</v>
      </c>
      <c r="G342">
        <v>3.09</v>
      </c>
    </row>
    <row r="343" spans="1:7" outlineLevel="1" collapsed="1" x14ac:dyDescent="0.3">
      <c r="B343" s="1" t="s">
        <v>910</v>
      </c>
      <c r="D343" t="str">
        <f>D342</f>
        <v>Male</v>
      </c>
      <c r="G343">
        <f>SUBTOTAL(9,G342:G342)</f>
        <v>3.09</v>
      </c>
    </row>
    <row r="344" spans="1:7" hidden="1" outlineLevel="2" x14ac:dyDescent="0.3">
      <c r="A344">
        <v>390</v>
      </c>
      <c r="B344" t="s">
        <v>503</v>
      </c>
      <c r="C344">
        <v>26</v>
      </c>
      <c r="D344" t="s">
        <v>8</v>
      </c>
      <c r="E344">
        <v>75</v>
      </c>
      <c r="F344" t="s">
        <v>218</v>
      </c>
      <c r="G344">
        <v>2.42</v>
      </c>
    </row>
    <row r="345" spans="1:7" hidden="1" outlineLevel="2" x14ac:dyDescent="0.3">
      <c r="A345">
        <v>762</v>
      </c>
      <c r="B345" t="s">
        <v>503</v>
      </c>
      <c r="C345">
        <v>26</v>
      </c>
      <c r="D345" t="s">
        <v>8</v>
      </c>
      <c r="E345">
        <v>110</v>
      </c>
      <c r="F345" t="s">
        <v>105</v>
      </c>
      <c r="G345">
        <v>1.44</v>
      </c>
    </row>
    <row r="346" spans="1:7" hidden="1" outlineLevel="2" x14ac:dyDescent="0.3">
      <c r="A346">
        <v>772</v>
      </c>
      <c r="B346" t="s">
        <v>503</v>
      </c>
      <c r="C346">
        <v>26</v>
      </c>
      <c r="D346" t="s">
        <v>8</v>
      </c>
      <c r="E346">
        <v>136</v>
      </c>
      <c r="F346" t="s">
        <v>28</v>
      </c>
      <c r="G346">
        <v>3.58</v>
      </c>
    </row>
    <row r="347" spans="1:7" outlineLevel="1" collapsed="1" x14ac:dyDescent="0.3">
      <c r="B347" s="1" t="s">
        <v>911</v>
      </c>
      <c r="D347" t="str">
        <f>D346</f>
        <v>Male</v>
      </c>
      <c r="G347">
        <f>SUBTOTAL(9,G344:G346)</f>
        <v>7.4399999999999995</v>
      </c>
    </row>
    <row r="348" spans="1:7" hidden="1" outlineLevel="2" x14ac:dyDescent="0.3">
      <c r="A348">
        <v>48</v>
      </c>
      <c r="B348" t="s">
        <v>102</v>
      </c>
      <c r="C348">
        <v>20</v>
      </c>
      <c r="D348" t="s">
        <v>8</v>
      </c>
      <c r="E348">
        <v>138</v>
      </c>
      <c r="F348" t="s">
        <v>103</v>
      </c>
      <c r="G348">
        <v>4.74</v>
      </c>
    </row>
    <row r="349" spans="1:7" outlineLevel="1" collapsed="1" x14ac:dyDescent="0.3">
      <c r="B349" s="1" t="s">
        <v>912</v>
      </c>
      <c r="D349" t="str">
        <f>D348</f>
        <v>Male</v>
      </c>
      <c r="G349">
        <f>SUBTOTAL(9,G348:G348)</f>
        <v>4.74</v>
      </c>
    </row>
    <row r="350" spans="1:7" hidden="1" outlineLevel="2" x14ac:dyDescent="0.3">
      <c r="A350">
        <v>387</v>
      </c>
      <c r="B350" t="s">
        <v>500</v>
      </c>
      <c r="C350">
        <v>26</v>
      </c>
      <c r="D350" t="s">
        <v>8</v>
      </c>
      <c r="E350">
        <v>39</v>
      </c>
      <c r="F350" t="s">
        <v>171</v>
      </c>
      <c r="G350">
        <v>3.94</v>
      </c>
    </row>
    <row r="351" spans="1:7" hidden="1" outlineLevel="2" x14ac:dyDescent="0.3">
      <c r="A351">
        <v>644</v>
      </c>
      <c r="B351" t="s">
        <v>500</v>
      </c>
      <c r="C351">
        <v>26</v>
      </c>
      <c r="D351" t="s">
        <v>8</v>
      </c>
      <c r="E351">
        <v>22</v>
      </c>
      <c r="F351" t="s">
        <v>106</v>
      </c>
      <c r="G351">
        <v>2.1800000000000002</v>
      </c>
    </row>
    <row r="352" spans="1:7" outlineLevel="1" collapsed="1" x14ac:dyDescent="0.3">
      <c r="B352" s="1" t="s">
        <v>913</v>
      </c>
      <c r="D352" t="str">
        <f>D351</f>
        <v>Male</v>
      </c>
      <c r="G352">
        <f>SUBTOTAL(9,G350:G351)</f>
        <v>6.12</v>
      </c>
    </row>
    <row r="353" spans="1:7" hidden="1" outlineLevel="2" x14ac:dyDescent="0.3">
      <c r="A353">
        <v>171</v>
      </c>
      <c r="B353" t="s">
        <v>273</v>
      </c>
      <c r="C353">
        <v>30</v>
      </c>
      <c r="D353" t="s">
        <v>8</v>
      </c>
      <c r="E353">
        <v>102</v>
      </c>
      <c r="F353" t="s">
        <v>99</v>
      </c>
      <c r="G353">
        <v>3.44</v>
      </c>
    </row>
    <row r="354" spans="1:7" hidden="1" outlineLevel="2" x14ac:dyDescent="0.3">
      <c r="A354">
        <v>671</v>
      </c>
      <c r="B354" t="s">
        <v>273</v>
      </c>
      <c r="C354">
        <v>30</v>
      </c>
      <c r="D354" t="s">
        <v>8</v>
      </c>
      <c r="E354">
        <v>152</v>
      </c>
      <c r="F354" t="s">
        <v>121</v>
      </c>
      <c r="G354">
        <v>1.74</v>
      </c>
    </row>
    <row r="355" spans="1:7" outlineLevel="1" collapsed="1" x14ac:dyDescent="0.3">
      <c r="B355" s="1" t="s">
        <v>914</v>
      </c>
      <c r="D355" t="str">
        <f>D354</f>
        <v>Male</v>
      </c>
      <c r="G355">
        <f>SUBTOTAL(9,G353:G354)</f>
        <v>5.18</v>
      </c>
    </row>
    <row r="356" spans="1:7" hidden="1" outlineLevel="2" x14ac:dyDescent="0.3">
      <c r="A356">
        <v>329</v>
      </c>
      <c r="B356" t="s">
        <v>444</v>
      </c>
      <c r="C356">
        <v>20</v>
      </c>
      <c r="D356" t="s">
        <v>8</v>
      </c>
      <c r="E356">
        <v>145</v>
      </c>
      <c r="F356" t="s">
        <v>227</v>
      </c>
      <c r="G356">
        <v>4.58</v>
      </c>
    </row>
    <row r="357" spans="1:7" outlineLevel="1" collapsed="1" x14ac:dyDescent="0.3">
      <c r="B357" s="1" t="s">
        <v>915</v>
      </c>
      <c r="D357" t="str">
        <f>D356</f>
        <v>Male</v>
      </c>
      <c r="G357">
        <f>SUBTOTAL(9,G356:G356)</f>
        <v>4.58</v>
      </c>
    </row>
    <row r="358" spans="1:7" hidden="1" outlineLevel="2" x14ac:dyDescent="0.3">
      <c r="A358">
        <v>310</v>
      </c>
      <c r="B358" t="s">
        <v>429</v>
      </c>
      <c r="C358">
        <v>30</v>
      </c>
      <c r="D358" t="s">
        <v>8</v>
      </c>
      <c r="E358">
        <v>117</v>
      </c>
      <c r="F358" t="s">
        <v>207</v>
      </c>
      <c r="G358">
        <v>1.79</v>
      </c>
    </row>
    <row r="359" spans="1:7" hidden="1" outlineLevel="2" x14ac:dyDescent="0.3">
      <c r="A359">
        <v>614</v>
      </c>
      <c r="B359" t="s">
        <v>429</v>
      </c>
      <c r="C359">
        <v>30</v>
      </c>
      <c r="D359" t="s">
        <v>8</v>
      </c>
      <c r="E359">
        <v>65</v>
      </c>
      <c r="F359" t="s">
        <v>262</v>
      </c>
      <c r="G359">
        <v>4.24</v>
      </c>
    </row>
    <row r="360" spans="1:7" outlineLevel="1" collapsed="1" x14ac:dyDescent="0.3">
      <c r="B360" s="1" t="s">
        <v>916</v>
      </c>
      <c r="D360" t="str">
        <f>D359</f>
        <v>Male</v>
      </c>
      <c r="G360">
        <f>SUBTOTAL(9,G358:G359)</f>
        <v>6.03</v>
      </c>
    </row>
    <row r="361" spans="1:7" hidden="1" outlineLevel="2" x14ac:dyDescent="0.3">
      <c r="A361">
        <v>331</v>
      </c>
      <c r="B361" t="s">
        <v>446</v>
      </c>
      <c r="C361">
        <v>23</v>
      </c>
      <c r="D361" t="s">
        <v>8</v>
      </c>
      <c r="E361">
        <v>7</v>
      </c>
      <c r="F361" t="s">
        <v>90</v>
      </c>
      <c r="G361">
        <v>1.33</v>
      </c>
    </row>
    <row r="362" spans="1:7" hidden="1" outlineLevel="2" x14ac:dyDescent="0.3">
      <c r="A362">
        <v>343</v>
      </c>
      <c r="B362" t="s">
        <v>446</v>
      </c>
      <c r="C362">
        <v>23</v>
      </c>
      <c r="D362" t="s">
        <v>8</v>
      </c>
      <c r="E362">
        <v>49</v>
      </c>
      <c r="F362" t="s">
        <v>460</v>
      </c>
      <c r="G362">
        <v>2.96</v>
      </c>
    </row>
    <row r="363" spans="1:7" outlineLevel="1" collapsed="1" x14ac:dyDescent="0.3">
      <c r="B363" s="1" t="s">
        <v>917</v>
      </c>
      <c r="D363" t="str">
        <f>D362</f>
        <v>Male</v>
      </c>
      <c r="G363">
        <f>SUBTOTAL(9,G361:G362)</f>
        <v>4.29</v>
      </c>
    </row>
    <row r="364" spans="1:7" hidden="1" outlineLevel="2" x14ac:dyDescent="0.3">
      <c r="A364">
        <v>359</v>
      </c>
      <c r="B364" t="s">
        <v>474</v>
      </c>
      <c r="C364">
        <v>18</v>
      </c>
      <c r="D364" t="s">
        <v>8</v>
      </c>
      <c r="E364">
        <v>73</v>
      </c>
      <c r="F364" t="s">
        <v>84</v>
      </c>
      <c r="G364">
        <v>2.0499999999999998</v>
      </c>
    </row>
    <row r="365" spans="1:7" outlineLevel="1" collapsed="1" x14ac:dyDescent="0.3">
      <c r="B365" s="1" t="s">
        <v>918</v>
      </c>
      <c r="D365" t="str">
        <f>D364</f>
        <v>Male</v>
      </c>
      <c r="G365">
        <f>SUBTOTAL(9,G364:G364)</f>
        <v>2.0499999999999998</v>
      </c>
    </row>
    <row r="366" spans="1:7" hidden="1" outlineLevel="2" x14ac:dyDescent="0.3">
      <c r="A366">
        <v>186</v>
      </c>
      <c r="B366" t="s">
        <v>295</v>
      </c>
      <c r="C366">
        <v>30</v>
      </c>
      <c r="D366" t="s">
        <v>8</v>
      </c>
      <c r="E366">
        <v>77</v>
      </c>
      <c r="F366" t="s">
        <v>296</v>
      </c>
      <c r="G366">
        <v>4</v>
      </c>
    </row>
    <row r="367" spans="1:7" hidden="1" outlineLevel="2" x14ac:dyDescent="0.3">
      <c r="A367">
        <v>506</v>
      </c>
      <c r="B367" t="s">
        <v>295</v>
      </c>
      <c r="C367">
        <v>30</v>
      </c>
      <c r="D367" t="s">
        <v>8</v>
      </c>
      <c r="E367">
        <v>25</v>
      </c>
      <c r="F367" t="s">
        <v>114</v>
      </c>
      <c r="G367">
        <v>4.3499999999999996</v>
      </c>
    </row>
    <row r="368" spans="1:7" outlineLevel="1" collapsed="1" x14ac:dyDescent="0.3">
      <c r="B368" s="1" t="s">
        <v>919</v>
      </c>
      <c r="D368" t="str">
        <f>D367</f>
        <v>Male</v>
      </c>
      <c r="G368">
        <f>SUBTOTAL(9,G366:G367)</f>
        <v>8.35</v>
      </c>
    </row>
    <row r="369" spans="1:7" hidden="1" outlineLevel="2" x14ac:dyDescent="0.3">
      <c r="A369">
        <v>686</v>
      </c>
      <c r="B369" t="s">
        <v>709</v>
      </c>
      <c r="C369">
        <v>8</v>
      </c>
      <c r="D369" t="s">
        <v>8</v>
      </c>
      <c r="E369">
        <v>147</v>
      </c>
      <c r="F369" t="s">
        <v>410</v>
      </c>
      <c r="G369">
        <v>4.93</v>
      </c>
    </row>
    <row r="370" spans="1:7" outlineLevel="1" collapsed="1" x14ac:dyDescent="0.3">
      <c r="B370" s="1" t="s">
        <v>920</v>
      </c>
      <c r="D370" t="str">
        <f>D369</f>
        <v>Male</v>
      </c>
      <c r="G370">
        <f>SUBTOTAL(9,G369:G369)</f>
        <v>4.93</v>
      </c>
    </row>
    <row r="371" spans="1:7" hidden="1" outlineLevel="2" x14ac:dyDescent="0.3">
      <c r="A371">
        <v>647</v>
      </c>
      <c r="B371" t="s">
        <v>685</v>
      </c>
      <c r="C371">
        <v>24</v>
      </c>
      <c r="D371" t="s">
        <v>8</v>
      </c>
      <c r="E371">
        <v>61</v>
      </c>
      <c r="F371" t="s">
        <v>557</v>
      </c>
      <c r="G371">
        <v>3.87</v>
      </c>
    </row>
    <row r="372" spans="1:7" outlineLevel="1" collapsed="1" x14ac:dyDescent="0.3">
      <c r="B372" s="1" t="s">
        <v>921</v>
      </c>
      <c r="D372" t="str">
        <f>D371</f>
        <v>Male</v>
      </c>
      <c r="G372">
        <f>SUBTOTAL(9,G371:G371)</f>
        <v>3.87</v>
      </c>
    </row>
    <row r="373" spans="1:7" hidden="1" outlineLevel="2" x14ac:dyDescent="0.3">
      <c r="A373">
        <v>91</v>
      </c>
      <c r="B373" t="s">
        <v>168</v>
      </c>
      <c r="C373">
        <v>20</v>
      </c>
      <c r="D373" t="s">
        <v>8</v>
      </c>
      <c r="E373">
        <v>59</v>
      </c>
      <c r="F373" t="s">
        <v>169</v>
      </c>
      <c r="G373">
        <v>4.2300000000000004</v>
      </c>
    </row>
    <row r="374" spans="1:7" hidden="1" outlineLevel="2" x14ac:dyDescent="0.3">
      <c r="A374">
        <v>198</v>
      </c>
      <c r="B374" t="s">
        <v>168</v>
      </c>
      <c r="C374">
        <v>20</v>
      </c>
      <c r="D374" t="s">
        <v>8</v>
      </c>
      <c r="E374">
        <v>153</v>
      </c>
      <c r="F374" t="s">
        <v>312</v>
      </c>
      <c r="G374">
        <v>3.74</v>
      </c>
    </row>
    <row r="375" spans="1:7" hidden="1" outlineLevel="2" x14ac:dyDescent="0.3">
      <c r="A375">
        <v>711</v>
      </c>
      <c r="B375" t="s">
        <v>168</v>
      </c>
      <c r="C375">
        <v>20</v>
      </c>
      <c r="D375" t="s">
        <v>8</v>
      </c>
      <c r="E375">
        <v>94</v>
      </c>
      <c r="F375" t="s">
        <v>373</v>
      </c>
      <c r="G375">
        <v>3.49</v>
      </c>
    </row>
    <row r="376" spans="1:7" outlineLevel="1" collapsed="1" x14ac:dyDescent="0.3">
      <c r="B376" s="1" t="s">
        <v>922</v>
      </c>
      <c r="D376" t="str">
        <f>D375</f>
        <v>Male</v>
      </c>
      <c r="G376">
        <f>SUBTOTAL(9,G373:G375)</f>
        <v>11.46</v>
      </c>
    </row>
    <row r="377" spans="1:7" hidden="1" outlineLevel="2" x14ac:dyDescent="0.3">
      <c r="A377">
        <v>570</v>
      </c>
      <c r="B377" t="s">
        <v>638</v>
      </c>
      <c r="C377">
        <v>20</v>
      </c>
      <c r="D377" t="s">
        <v>8</v>
      </c>
      <c r="E377">
        <v>69</v>
      </c>
      <c r="F377" t="s">
        <v>303</v>
      </c>
      <c r="G377">
        <v>1.98</v>
      </c>
    </row>
    <row r="378" spans="1:7" outlineLevel="1" collapsed="1" x14ac:dyDescent="0.3">
      <c r="B378" s="1" t="s">
        <v>923</v>
      </c>
      <c r="D378" t="str">
        <f>D377</f>
        <v>Male</v>
      </c>
      <c r="G378">
        <f>SUBTOTAL(9,G377:G377)</f>
        <v>1.98</v>
      </c>
    </row>
    <row r="379" spans="1:7" hidden="1" outlineLevel="2" x14ac:dyDescent="0.3">
      <c r="A379">
        <v>98</v>
      </c>
      <c r="B379" t="s">
        <v>179</v>
      </c>
      <c r="C379">
        <v>23</v>
      </c>
      <c r="D379" t="s">
        <v>8</v>
      </c>
      <c r="E379">
        <v>141</v>
      </c>
      <c r="F379" t="s">
        <v>58</v>
      </c>
      <c r="G379">
        <v>3.19</v>
      </c>
    </row>
    <row r="380" spans="1:7" outlineLevel="1" collapsed="1" x14ac:dyDescent="0.3">
      <c r="B380" s="1" t="s">
        <v>924</v>
      </c>
      <c r="D380" t="str">
        <f>D379</f>
        <v>Male</v>
      </c>
      <c r="G380">
        <f>SUBTOTAL(9,G379:G379)</f>
        <v>3.19</v>
      </c>
    </row>
    <row r="381" spans="1:7" hidden="1" outlineLevel="2" x14ac:dyDescent="0.3">
      <c r="A381">
        <v>262</v>
      </c>
      <c r="B381" t="s">
        <v>380</v>
      </c>
      <c r="C381">
        <v>15</v>
      </c>
      <c r="D381" t="s">
        <v>8</v>
      </c>
      <c r="E381">
        <v>172</v>
      </c>
      <c r="F381" t="s">
        <v>87</v>
      </c>
      <c r="G381">
        <v>3.14</v>
      </c>
    </row>
    <row r="382" spans="1:7" outlineLevel="1" collapsed="1" x14ac:dyDescent="0.3">
      <c r="B382" s="1" t="s">
        <v>925</v>
      </c>
      <c r="D382" t="str">
        <f>D381</f>
        <v>Male</v>
      </c>
      <c r="G382">
        <f>SUBTOTAL(9,G381:G381)</f>
        <v>3.14</v>
      </c>
    </row>
    <row r="383" spans="1:7" hidden="1" outlineLevel="2" x14ac:dyDescent="0.3">
      <c r="A383">
        <v>458</v>
      </c>
      <c r="B383" t="s">
        <v>558</v>
      </c>
      <c r="C383">
        <v>29</v>
      </c>
      <c r="D383" t="s">
        <v>8</v>
      </c>
      <c r="E383">
        <v>166</v>
      </c>
      <c r="F383" t="s">
        <v>388</v>
      </c>
      <c r="G383">
        <v>3.07</v>
      </c>
    </row>
    <row r="384" spans="1:7" outlineLevel="1" collapsed="1" x14ac:dyDescent="0.3">
      <c r="B384" s="1" t="s">
        <v>926</v>
      </c>
      <c r="D384" t="str">
        <f>D383</f>
        <v>Male</v>
      </c>
      <c r="G384">
        <f>SUBTOTAL(9,G383:G383)</f>
        <v>3.07</v>
      </c>
    </row>
    <row r="385" spans="1:7" hidden="1" outlineLevel="2" x14ac:dyDescent="0.3">
      <c r="A385">
        <v>642</v>
      </c>
      <c r="B385" t="s">
        <v>680</v>
      </c>
      <c r="C385">
        <v>23</v>
      </c>
      <c r="D385" t="s">
        <v>8</v>
      </c>
      <c r="E385">
        <v>127</v>
      </c>
      <c r="F385" t="s">
        <v>681</v>
      </c>
      <c r="G385">
        <v>3.92</v>
      </c>
    </row>
    <row r="386" spans="1:7" outlineLevel="1" collapsed="1" x14ac:dyDescent="0.3">
      <c r="B386" s="1" t="s">
        <v>927</v>
      </c>
      <c r="D386" t="str">
        <f>D385</f>
        <v>Male</v>
      </c>
      <c r="G386">
        <f>SUBTOTAL(9,G385:G385)</f>
        <v>3.92</v>
      </c>
    </row>
    <row r="387" spans="1:7" hidden="1" outlineLevel="2" x14ac:dyDescent="0.3">
      <c r="A387">
        <v>19</v>
      </c>
      <c r="B387" t="s">
        <v>47</v>
      </c>
      <c r="C387">
        <v>30</v>
      </c>
      <c r="D387" t="s">
        <v>8</v>
      </c>
      <c r="E387">
        <v>89</v>
      </c>
      <c r="F387" t="s">
        <v>48</v>
      </c>
      <c r="G387">
        <v>4.6399999999999997</v>
      </c>
    </row>
    <row r="388" spans="1:7" outlineLevel="1" collapsed="1" x14ac:dyDescent="0.3">
      <c r="B388" s="1" t="s">
        <v>928</v>
      </c>
      <c r="D388" t="str">
        <f>D387</f>
        <v>Male</v>
      </c>
      <c r="G388">
        <f>SUBTOTAL(9,G387:G387)</f>
        <v>4.6399999999999997</v>
      </c>
    </row>
    <row r="389" spans="1:7" hidden="1" outlineLevel="2" x14ac:dyDescent="0.3">
      <c r="A389">
        <v>3</v>
      </c>
      <c r="B389" t="s">
        <v>14</v>
      </c>
      <c r="C389">
        <v>24</v>
      </c>
      <c r="D389" t="s">
        <v>8</v>
      </c>
      <c r="E389">
        <v>100</v>
      </c>
      <c r="F389" t="s">
        <v>15</v>
      </c>
      <c r="G389">
        <v>3.27</v>
      </c>
    </row>
    <row r="390" spans="1:7" outlineLevel="1" collapsed="1" x14ac:dyDescent="0.3">
      <c r="B390" s="1" t="s">
        <v>929</v>
      </c>
      <c r="D390" t="str">
        <f>D389</f>
        <v>Male</v>
      </c>
      <c r="G390">
        <f>SUBTOTAL(9,G389:G389)</f>
        <v>3.27</v>
      </c>
    </row>
    <row r="391" spans="1:7" hidden="1" outlineLevel="2" x14ac:dyDescent="0.3">
      <c r="A391">
        <v>307</v>
      </c>
      <c r="B391" t="s">
        <v>426</v>
      </c>
      <c r="C391">
        <v>34</v>
      </c>
      <c r="D391" t="s">
        <v>8</v>
      </c>
      <c r="E391">
        <v>53</v>
      </c>
      <c r="F391" t="s">
        <v>80</v>
      </c>
      <c r="G391">
        <v>2.0499999999999998</v>
      </c>
    </row>
    <row r="392" spans="1:7" outlineLevel="1" collapsed="1" x14ac:dyDescent="0.3">
      <c r="B392" s="1" t="s">
        <v>930</v>
      </c>
      <c r="D392" t="str">
        <f>D391</f>
        <v>Male</v>
      </c>
      <c r="G392">
        <f>SUBTOTAL(9,G391:G391)</f>
        <v>2.0499999999999998</v>
      </c>
    </row>
    <row r="393" spans="1:7" hidden="1" outlineLevel="2" x14ac:dyDescent="0.3">
      <c r="A393">
        <v>733</v>
      </c>
      <c r="B393" t="s">
        <v>739</v>
      </c>
      <c r="C393">
        <v>20</v>
      </c>
      <c r="D393" t="s">
        <v>8</v>
      </c>
      <c r="E393">
        <v>66</v>
      </c>
      <c r="F393" t="s">
        <v>347</v>
      </c>
      <c r="G393">
        <v>4.4000000000000004</v>
      </c>
    </row>
    <row r="394" spans="1:7" outlineLevel="1" collapsed="1" x14ac:dyDescent="0.3">
      <c r="B394" s="1" t="s">
        <v>931</v>
      </c>
      <c r="D394" t="str">
        <f>D393</f>
        <v>Male</v>
      </c>
      <c r="G394">
        <f>SUBTOTAL(9,G393:G393)</f>
        <v>4.4000000000000004</v>
      </c>
    </row>
    <row r="395" spans="1:7" hidden="1" outlineLevel="2" x14ac:dyDescent="0.3">
      <c r="A395">
        <v>176</v>
      </c>
      <c r="B395" t="s">
        <v>281</v>
      </c>
      <c r="C395">
        <v>17</v>
      </c>
      <c r="D395" t="s">
        <v>8</v>
      </c>
      <c r="E395">
        <v>157</v>
      </c>
      <c r="F395" t="s">
        <v>269</v>
      </c>
      <c r="G395">
        <v>4.8</v>
      </c>
    </row>
    <row r="396" spans="1:7" outlineLevel="1" collapsed="1" x14ac:dyDescent="0.3">
      <c r="B396" s="1" t="s">
        <v>932</v>
      </c>
      <c r="D396" t="str">
        <f>D395</f>
        <v>Male</v>
      </c>
      <c r="G396">
        <f>SUBTOTAL(9,G395:G395)</f>
        <v>4.8</v>
      </c>
    </row>
    <row r="397" spans="1:7" hidden="1" outlineLevel="2" x14ac:dyDescent="0.3">
      <c r="A397">
        <v>204</v>
      </c>
      <c r="B397" t="s">
        <v>319</v>
      </c>
      <c r="C397">
        <v>16</v>
      </c>
      <c r="D397" t="s">
        <v>8</v>
      </c>
      <c r="E397">
        <v>0</v>
      </c>
      <c r="F397" t="s">
        <v>228</v>
      </c>
      <c r="G397">
        <v>1.28</v>
      </c>
    </row>
    <row r="398" spans="1:7" hidden="1" outlineLevel="2" x14ac:dyDescent="0.3">
      <c r="A398">
        <v>234</v>
      </c>
      <c r="B398" t="s">
        <v>319</v>
      </c>
      <c r="C398">
        <v>16</v>
      </c>
      <c r="D398" t="s">
        <v>8</v>
      </c>
      <c r="E398">
        <v>97</v>
      </c>
      <c r="F398" t="s">
        <v>348</v>
      </c>
      <c r="G398">
        <v>2.5</v>
      </c>
    </row>
    <row r="399" spans="1:7" hidden="1" outlineLevel="2" x14ac:dyDescent="0.3">
      <c r="A399">
        <v>617</v>
      </c>
      <c r="B399" t="s">
        <v>319</v>
      </c>
      <c r="C399">
        <v>16</v>
      </c>
      <c r="D399" t="s">
        <v>8</v>
      </c>
      <c r="E399">
        <v>40</v>
      </c>
      <c r="F399" t="s">
        <v>42</v>
      </c>
      <c r="G399">
        <v>2.52</v>
      </c>
    </row>
    <row r="400" spans="1:7" outlineLevel="1" collapsed="1" x14ac:dyDescent="0.3">
      <c r="B400" s="1" t="s">
        <v>933</v>
      </c>
      <c r="D400" t="str">
        <f>D399</f>
        <v>Male</v>
      </c>
      <c r="G400">
        <f>SUBTOTAL(9,G397:G399)</f>
        <v>6.3000000000000007</v>
      </c>
    </row>
    <row r="401" spans="1:7" hidden="1" outlineLevel="2" x14ac:dyDescent="0.3">
      <c r="A401">
        <v>145</v>
      </c>
      <c r="B401" t="s">
        <v>242</v>
      </c>
      <c r="C401">
        <v>23</v>
      </c>
      <c r="D401" t="s">
        <v>8</v>
      </c>
      <c r="E401">
        <v>46</v>
      </c>
      <c r="F401" t="s">
        <v>243</v>
      </c>
      <c r="G401">
        <v>1.33</v>
      </c>
    </row>
    <row r="402" spans="1:7" hidden="1" outlineLevel="2" x14ac:dyDescent="0.3">
      <c r="A402">
        <v>256</v>
      </c>
      <c r="B402" t="s">
        <v>242</v>
      </c>
      <c r="C402">
        <v>23</v>
      </c>
      <c r="D402" t="s">
        <v>8</v>
      </c>
      <c r="E402">
        <v>182</v>
      </c>
      <c r="F402" t="s">
        <v>374</v>
      </c>
      <c r="G402">
        <v>4.03</v>
      </c>
    </row>
    <row r="403" spans="1:7" outlineLevel="1" collapsed="1" x14ac:dyDescent="0.3">
      <c r="B403" s="1" t="s">
        <v>934</v>
      </c>
      <c r="D403" t="str">
        <f>D402</f>
        <v>Male</v>
      </c>
      <c r="G403">
        <f>SUBTOTAL(9,G401:G402)</f>
        <v>5.36</v>
      </c>
    </row>
    <row r="404" spans="1:7" hidden="1" outlineLevel="2" x14ac:dyDescent="0.3">
      <c r="A404">
        <v>65</v>
      </c>
      <c r="B404" t="s">
        <v>131</v>
      </c>
      <c r="C404">
        <v>25</v>
      </c>
      <c r="D404" t="s">
        <v>8</v>
      </c>
      <c r="E404">
        <v>34</v>
      </c>
      <c r="F404" t="s">
        <v>132</v>
      </c>
      <c r="G404">
        <v>2.2200000000000002</v>
      </c>
    </row>
    <row r="405" spans="1:7" outlineLevel="1" collapsed="1" x14ac:dyDescent="0.3">
      <c r="B405" s="1" t="s">
        <v>935</v>
      </c>
      <c r="D405" t="str">
        <f>D404</f>
        <v>Male</v>
      </c>
      <c r="G405">
        <f>SUBTOTAL(9,G404:G404)</f>
        <v>2.2200000000000002</v>
      </c>
    </row>
    <row r="406" spans="1:7" hidden="1" outlineLevel="2" x14ac:dyDescent="0.3">
      <c r="A406">
        <v>664</v>
      </c>
      <c r="B406" t="s">
        <v>695</v>
      </c>
      <c r="C406">
        <v>31</v>
      </c>
      <c r="D406" t="s">
        <v>8</v>
      </c>
      <c r="E406">
        <v>47</v>
      </c>
      <c r="F406" t="s">
        <v>696</v>
      </c>
      <c r="G406">
        <v>3.58</v>
      </c>
    </row>
    <row r="407" spans="1:7" outlineLevel="1" collapsed="1" x14ac:dyDescent="0.3">
      <c r="B407" s="1" t="s">
        <v>936</v>
      </c>
      <c r="D407" t="str">
        <f>D406</f>
        <v>Male</v>
      </c>
      <c r="G407">
        <f>SUBTOTAL(9,G406:G406)</f>
        <v>3.58</v>
      </c>
    </row>
    <row r="408" spans="1:7" hidden="1" outlineLevel="2" x14ac:dyDescent="0.3">
      <c r="A408">
        <v>611</v>
      </c>
      <c r="B408" t="s">
        <v>664</v>
      </c>
      <c r="C408">
        <v>16</v>
      </c>
      <c r="D408" t="s">
        <v>8</v>
      </c>
      <c r="E408">
        <v>176</v>
      </c>
      <c r="F408" t="s">
        <v>112</v>
      </c>
      <c r="G408">
        <v>2.84</v>
      </c>
    </row>
    <row r="409" spans="1:7" outlineLevel="1" collapsed="1" x14ac:dyDescent="0.3">
      <c r="B409" s="1" t="s">
        <v>937</v>
      </c>
      <c r="D409" t="str">
        <f>D408</f>
        <v>Male</v>
      </c>
      <c r="G409">
        <f>SUBTOTAL(9,G408:G408)</f>
        <v>2.84</v>
      </c>
    </row>
    <row r="410" spans="1:7" hidden="1" outlineLevel="2" x14ac:dyDescent="0.3">
      <c r="A410">
        <v>433</v>
      </c>
      <c r="B410" t="s">
        <v>537</v>
      </c>
      <c r="C410">
        <v>21</v>
      </c>
      <c r="D410" t="s">
        <v>8</v>
      </c>
      <c r="E410">
        <v>156</v>
      </c>
      <c r="F410" t="s">
        <v>407</v>
      </c>
      <c r="G410">
        <v>1.77</v>
      </c>
    </row>
    <row r="411" spans="1:7" outlineLevel="1" collapsed="1" x14ac:dyDescent="0.3">
      <c r="B411" s="1" t="s">
        <v>938</v>
      </c>
      <c r="D411" t="str">
        <f>D410</f>
        <v>Male</v>
      </c>
      <c r="G411">
        <f>SUBTOTAL(9,G410:G410)</f>
        <v>1.77</v>
      </c>
    </row>
    <row r="412" spans="1:7" hidden="1" outlineLevel="2" x14ac:dyDescent="0.3">
      <c r="A412">
        <v>538</v>
      </c>
      <c r="B412" t="s">
        <v>618</v>
      </c>
      <c r="C412">
        <v>25</v>
      </c>
      <c r="D412" t="s">
        <v>8</v>
      </c>
      <c r="E412">
        <v>141</v>
      </c>
      <c r="F412" t="s">
        <v>58</v>
      </c>
      <c r="G412">
        <v>3.19</v>
      </c>
    </row>
    <row r="413" spans="1:7" outlineLevel="1" collapsed="1" x14ac:dyDescent="0.3">
      <c r="B413" s="1" t="s">
        <v>939</v>
      </c>
      <c r="D413" t="str">
        <f>D412</f>
        <v>Male</v>
      </c>
      <c r="G413">
        <f>SUBTOTAL(9,G412:G412)</f>
        <v>3.19</v>
      </c>
    </row>
    <row r="414" spans="1:7" hidden="1" outlineLevel="2" x14ac:dyDescent="0.3">
      <c r="A414">
        <v>507</v>
      </c>
      <c r="B414" t="s">
        <v>597</v>
      </c>
      <c r="C414">
        <v>22</v>
      </c>
      <c r="D414" t="s">
        <v>8</v>
      </c>
      <c r="E414">
        <v>29</v>
      </c>
      <c r="F414" t="s">
        <v>140</v>
      </c>
      <c r="G414">
        <v>1.98</v>
      </c>
    </row>
    <row r="415" spans="1:7" hidden="1" outlineLevel="2" x14ac:dyDescent="0.3">
      <c r="A415">
        <v>561</v>
      </c>
      <c r="B415" t="s">
        <v>597</v>
      </c>
      <c r="C415">
        <v>22</v>
      </c>
      <c r="D415" t="s">
        <v>8</v>
      </c>
      <c r="E415">
        <v>35</v>
      </c>
      <c r="F415" t="s">
        <v>411</v>
      </c>
      <c r="G415">
        <v>3.45</v>
      </c>
    </row>
    <row r="416" spans="1:7" hidden="1" outlineLevel="2" x14ac:dyDescent="0.3">
      <c r="A416">
        <v>633</v>
      </c>
      <c r="B416" t="s">
        <v>597</v>
      </c>
      <c r="C416">
        <v>22</v>
      </c>
      <c r="D416" t="s">
        <v>8</v>
      </c>
      <c r="E416">
        <v>80</v>
      </c>
      <c r="F416" t="s">
        <v>119</v>
      </c>
      <c r="G416">
        <v>3.39</v>
      </c>
    </row>
    <row r="417" spans="1:7" outlineLevel="1" collapsed="1" x14ac:dyDescent="0.3">
      <c r="B417" s="1" t="s">
        <v>940</v>
      </c>
      <c r="D417" t="str">
        <f>D416</f>
        <v>Male</v>
      </c>
      <c r="G417">
        <f>SUBTOTAL(9,G414:G416)</f>
        <v>8.82</v>
      </c>
    </row>
    <row r="418" spans="1:7" hidden="1" outlineLevel="2" x14ac:dyDescent="0.3">
      <c r="A418">
        <v>164</v>
      </c>
      <c r="B418" t="s">
        <v>263</v>
      </c>
      <c r="C418">
        <v>22</v>
      </c>
      <c r="D418" t="s">
        <v>8</v>
      </c>
      <c r="E418">
        <v>96</v>
      </c>
      <c r="F418" t="s">
        <v>64</v>
      </c>
      <c r="G418">
        <v>3.09</v>
      </c>
    </row>
    <row r="419" spans="1:7" hidden="1" outlineLevel="2" x14ac:dyDescent="0.3">
      <c r="A419">
        <v>744</v>
      </c>
      <c r="B419" t="s">
        <v>263</v>
      </c>
      <c r="C419">
        <v>22</v>
      </c>
      <c r="D419" t="s">
        <v>8</v>
      </c>
      <c r="E419">
        <v>94</v>
      </c>
      <c r="F419" t="s">
        <v>373</v>
      </c>
      <c r="G419">
        <v>3.49</v>
      </c>
    </row>
    <row r="420" spans="1:7" outlineLevel="1" collapsed="1" x14ac:dyDescent="0.3">
      <c r="B420" s="1" t="s">
        <v>941</v>
      </c>
      <c r="D420" t="str">
        <f>D419</f>
        <v>Male</v>
      </c>
      <c r="G420">
        <f>SUBTOTAL(9,G418:G419)</f>
        <v>6.58</v>
      </c>
    </row>
    <row r="421" spans="1:7" hidden="1" outlineLevel="2" x14ac:dyDescent="0.3">
      <c r="A421">
        <v>300</v>
      </c>
      <c r="B421" t="s">
        <v>418</v>
      </c>
      <c r="C421">
        <v>22</v>
      </c>
      <c r="D421" t="s">
        <v>8</v>
      </c>
      <c r="E421">
        <v>136</v>
      </c>
      <c r="F421" t="s">
        <v>28</v>
      </c>
      <c r="G421">
        <v>3.58</v>
      </c>
    </row>
    <row r="422" spans="1:7" outlineLevel="1" collapsed="1" x14ac:dyDescent="0.3">
      <c r="B422" s="1" t="s">
        <v>942</v>
      </c>
      <c r="D422" t="str">
        <f>D421</f>
        <v>Male</v>
      </c>
      <c r="G422">
        <f>SUBTOTAL(9,G421:G421)</f>
        <v>3.58</v>
      </c>
    </row>
    <row r="423" spans="1:7" hidden="1" outlineLevel="2" x14ac:dyDescent="0.3">
      <c r="A423">
        <v>668</v>
      </c>
      <c r="B423" t="s">
        <v>700</v>
      </c>
      <c r="C423">
        <v>15</v>
      </c>
      <c r="D423" t="s">
        <v>8</v>
      </c>
      <c r="E423">
        <v>40</v>
      </c>
      <c r="F423" t="s">
        <v>42</v>
      </c>
      <c r="G423">
        <v>2.52</v>
      </c>
    </row>
    <row r="424" spans="1:7" outlineLevel="1" collapsed="1" x14ac:dyDescent="0.3">
      <c r="B424" s="1" t="s">
        <v>943</v>
      </c>
      <c r="D424" t="str">
        <f>D423</f>
        <v>Male</v>
      </c>
      <c r="G424">
        <f>SUBTOTAL(9,G423:G423)</f>
        <v>2.52</v>
      </c>
    </row>
    <row r="425" spans="1:7" hidden="1" outlineLevel="2" x14ac:dyDescent="0.3">
      <c r="A425">
        <v>717</v>
      </c>
      <c r="B425" t="s">
        <v>727</v>
      </c>
      <c r="C425">
        <v>30</v>
      </c>
      <c r="D425" t="s">
        <v>8</v>
      </c>
      <c r="E425">
        <v>177</v>
      </c>
      <c r="F425" t="s">
        <v>728</v>
      </c>
      <c r="G425">
        <v>2.08</v>
      </c>
    </row>
    <row r="426" spans="1:7" outlineLevel="1" collapsed="1" x14ac:dyDescent="0.3">
      <c r="B426" s="1" t="s">
        <v>944</v>
      </c>
      <c r="D426" t="str">
        <f>D425</f>
        <v>Male</v>
      </c>
      <c r="G426">
        <f>SUBTOTAL(9,G425:G425)</f>
        <v>2.08</v>
      </c>
    </row>
    <row r="427" spans="1:7" hidden="1" outlineLevel="2" x14ac:dyDescent="0.3">
      <c r="A427">
        <v>622</v>
      </c>
      <c r="B427" t="s">
        <v>668</v>
      </c>
      <c r="C427">
        <v>25</v>
      </c>
      <c r="D427" t="s">
        <v>8</v>
      </c>
      <c r="E427">
        <v>129</v>
      </c>
      <c r="F427" t="s">
        <v>163</v>
      </c>
      <c r="G427">
        <v>1.54</v>
      </c>
    </row>
    <row r="428" spans="1:7" outlineLevel="1" collapsed="1" x14ac:dyDescent="0.3">
      <c r="B428" s="1" t="s">
        <v>945</v>
      </c>
      <c r="D428" t="str">
        <f>D427</f>
        <v>Male</v>
      </c>
      <c r="G428">
        <f>SUBTOTAL(9,G427:G427)</f>
        <v>1.54</v>
      </c>
    </row>
    <row r="429" spans="1:7" hidden="1" outlineLevel="2" x14ac:dyDescent="0.3">
      <c r="A429">
        <v>585</v>
      </c>
      <c r="B429" t="s">
        <v>648</v>
      </c>
      <c r="C429">
        <v>22</v>
      </c>
      <c r="D429" t="s">
        <v>8</v>
      </c>
      <c r="E429">
        <v>85</v>
      </c>
      <c r="F429" t="s">
        <v>193</v>
      </c>
      <c r="G429">
        <v>1.75</v>
      </c>
    </row>
    <row r="430" spans="1:7" hidden="1" outlineLevel="2" x14ac:dyDescent="0.3">
      <c r="A430">
        <v>636</v>
      </c>
      <c r="B430" t="s">
        <v>648</v>
      </c>
      <c r="C430">
        <v>22</v>
      </c>
      <c r="D430" t="s">
        <v>8</v>
      </c>
      <c r="E430">
        <v>78</v>
      </c>
      <c r="F430" t="s">
        <v>208</v>
      </c>
      <c r="G430">
        <v>4.4000000000000004</v>
      </c>
    </row>
    <row r="431" spans="1:7" outlineLevel="1" collapsed="1" x14ac:dyDescent="0.3">
      <c r="B431" s="1" t="s">
        <v>946</v>
      </c>
      <c r="D431" t="str">
        <f>D430</f>
        <v>Male</v>
      </c>
      <c r="G431">
        <f>SUBTOTAL(9,G429:G430)</f>
        <v>6.15</v>
      </c>
    </row>
    <row r="432" spans="1:7" hidden="1" outlineLevel="2" x14ac:dyDescent="0.3">
      <c r="A432">
        <v>493</v>
      </c>
      <c r="B432" t="s">
        <v>587</v>
      </c>
      <c r="C432">
        <v>14</v>
      </c>
      <c r="D432" t="s">
        <v>8</v>
      </c>
      <c r="E432">
        <v>139</v>
      </c>
      <c r="F432" t="s">
        <v>196</v>
      </c>
      <c r="G432">
        <v>4.9400000000000004</v>
      </c>
    </row>
    <row r="433" spans="1:7" outlineLevel="1" collapsed="1" x14ac:dyDescent="0.3">
      <c r="B433" s="1" t="s">
        <v>947</v>
      </c>
      <c r="D433" t="str">
        <f>D432</f>
        <v>Male</v>
      </c>
      <c r="G433">
        <f>SUBTOTAL(9,G432:G432)</f>
        <v>4.9400000000000004</v>
      </c>
    </row>
    <row r="434" spans="1:7" hidden="1" outlineLevel="2" x14ac:dyDescent="0.3">
      <c r="A434">
        <v>745</v>
      </c>
      <c r="B434" t="s">
        <v>747</v>
      </c>
      <c r="C434">
        <v>39</v>
      </c>
      <c r="D434" t="s">
        <v>8</v>
      </c>
      <c r="E434">
        <v>37</v>
      </c>
      <c r="F434" t="s">
        <v>68</v>
      </c>
      <c r="G434">
        <v>3.16</v>
      </c>
    </row>
    <row r="435" spans="1:7" outlineLevel="1" collapsed="1" x14ac:dyDescent="0.3">
      <c r="B435" s="1" t="s">
        <v>948</v>
      </c>
      <c r="D435" t="str">
        <f>D434</f>
        <v>Male</v>
      </c>
      <c r="G435">
        <f>SUBTOTAL(9,G434:G434)</f>
        <v>3.16</v>
      </c>
    </row>
    <row r="436" spans="1:7" hidden="1" outlineLevel="2" x14ac:dyDescent="0.3">
      <c r="A436">
        <v>153</v>
      </c>
      <c r="B436" t="s">
        <v>251</v>
      </c>
      <c r="C436">
        <v>21</v>
      </c>
      <c r="D436" t="s">
        <v>8</v>
      </c>
      <c r="E436">
        <v>164</v>
      </c>
      <c r="F436" t="s">
        <v>175</v>
      </c>
      <c r="G436">
        <v>1.63</v>
      </c>
    </row>
    <row r="437" spans="1:7" hidden="1" outlineLevel="2" x14ac:dyDescent="0.3">
      <c r="A437">
        <v>479</v>
      </c>
      <c r="B437" t="s">
        <v>251</v>
      </c>
      <c r="C437">
        <v>21</v>
      </c>
      <c r="D437" t="s">
        <v>8</v>
      </c>
      <c r="E437">
        <v>60</v>
      </c>
      <c r="F437" t="s">
        <v>110</v>
      </c>
      <c r="G437">
        <v>3.54</v>
      </c>
    </row>
    <row r="438" spans="1:7" outlineLevel="1" collapsed="1" x14ac:dyDescent="0.3">
      <c r="B438" s="1" t="s">
        <v>949</v>
      </c>
      <c r="D438" t="str">
        <f>D437</f>
        <v>Male</v>
      </c>
      <c r="G438">
        <f>SUBTOTAL(9,G436:G437)</f>
        <v>5.17</v>
      </c>
    </row>
    <row r="439" spans="1:7" hidden="1" outlineLevel="2" x14ac:dyDescent="0.3">
      <c r="A439">
        <v>51</v>
      </c>
      <c r="B439" t="s">
        <v>107</v>
      </c>
      <c r="C439">
        <v>22</v>
      </c>
      <c r="D439" t="s">
        <v>8</v>
      </c>
      <c r="E439">
        <v>15</v>
      </c>
      <c r="F439" t="s">
        <v>108</v>
      </c>
      <c r="G439">
        <v>2.96</v>
      </c>
    </row>
    <row r="440" spans="1:7" outlineLevel="1" collapsed="1" x14ac:dyDescent="0.3">
      <c r="B440" s="1" t="s">
        <v>950</v>
      </c>
      <c r="D440" t="str">
        <f>D439</f>
        <v>Male</v>
      </c>
      <c r="G440">
        <f>SUBTOTAL(9,G439:G439)</f>
        <v>2.96</v>
      </c>
    </row>
    <row r="441" spans="1:7" hidden="1" outlineLevel="2" x14ac:dyDescent="0.3">
      <c r="A441">
        <v>201</v>
      </c>
      <c r="B441" t="s">
        <v>316</v>
      </c>
      <c r="C441">
        <v>31</v>
      </c>
      <c r="D441" t="s">
        <v>8</v>
      </c>
      <c r="E441">
        <v>2</v>
      </c>
      <c r="F441" t="s">
        <v>229</v>
      </c>
      <c r="G441">
        <v>2.48</v>
      </c>
    </row>
    <row r="442" spans="1:7" hidden="1" outlineLevel="2" x14ac:dyDescent="0.3">
      <c r="A442">
        <v>700</v>
      </c>
      <c r="B442" t="s">
        <v>316</v>
      </c>
      <c r="C442">
        <v>31</v>
      </c>
      <c r="D442" t="s">
        <v>8</v>
      </c>
      <c r="E442">
        <v>90</v>
      </c>
      <c r="F442" t="s">
        <v>717</v>
      </c>
      <c r="G442">
        <v>2.94</v>
      </c>
    </row>
    <row r="443" spans="1:7" outlineLevel="1" collapsed="1" x14ac:dyDescent="0.3">
      <c r="B443" s="1" t="s">
        <v>951</v>
      </c>
      <c r="D443" t="str">
        <f>D442</f>
        <v>Male</v>
      </c>
      <c r="G443">
        <f>SUBTOTAL(9,G441:G442)</f>
        <v>5.42</v>
      </c>
    </row>
    <row r="444" spans="1:7" hidden="1" outlineLevel="2" x14ac:dyDescent="0.3">
      <c r="A444">
        <v>728</v>
      </c>
      <c r="B444" t="s">
        <v>735</v>
      </c>
      <c r="C444">
        <v>44</v>
      </c>
      <c r="D444" t="s">
        <v>8</v>
      </c>
      <c r="E444">
        <v>93</v>
      </c>
      <c r="F444" t="s">
        <v>523</v>
      </c>
      <c r="G444">
        <v>1.97</v>
      </c>
    </row>
    <row r="445" spans="1:7" outlineLevel="1" collapsed="1" x14ac:dyDescent="0.3">
      <c r="B445" s="1" t="s">
        <v>952</v>
      </c>
      <c r="D445" t="str">
        <f>D444</f>
        <v>Male</v>
      </c>
      <c r="G445">
        <f>SUBTOTAL(9,G444:G444)</f>
        <v>1.97</v>
      </c>
    </row>
    <row r="446" spans="1:7" hidden="1" outlineLevel="2" x14ac:dyDescent="0.3">
      <c r="A446">
        <v>706</v>
      </c>
      <c r="B446" t="s">
        <v>723</v>
      </c>
      <c r="C446">
        <v>20</v>
      </c>
      <c r="D446" t="s">
        <v>8</v>
      </c>
      <c r="E446">
        <v>178</v>
      </c>
      <c r="F446" t="s">
        <v>60</v>
      </c>
      <c r="G446">
        <v>4.2300000000000004</v>
      </c>
    </row>
    <row r="447" spans="1:7" hidden="1" outlineLevel="2" x14ac:dyDescent="0.3">
      <c r="A447">
        <v>749</v>
      </c>
      <c r="B447" t="s">
        <v>723</v>
      </c>
      <c r="C447">
        <v>20</v>
      </c>
      <c r="D447" t="s">
        <v>8</v>
      </c>
      <c r="E447">
        <v>53</v>
      </c>
      <c r="F447" t="s">
        <v>80</v>
      </c>
      <c r="G447">
        <v>2.0499999999999998</v>
      </c>
    </row>
    <row r="448" spans="1:7" outlineLevel="1" collapsed="1" x14ac:dyDescent="0.3">
      <c r="B448" s="1" t="s">
        <v>953</v>
      </c>
      <c r="D448" t="str">
        <f>D447</f>
        <v>Male</v>
      </c>
      <c r="G448">
        <f>SUBTOTAL(9,G446:G447)</f>
        <v>6.28</v>
      </c>
    </row>
    <row r="449" spans="1:7" hidden="1" outlineLevel="2" x14ac:dyDescent="0.3">
      <c r="A449">
        <v>47</v>
      </c>
      <c r="B449" t="s">
        <v>100</v>
      </c>
      <c r="C449">
        <v>20</v>
      </c>
      <c r="D449" t="s">
        <v>8</v>
      </c>
      <c r="E449">
        <v>170</v>
      </c>
      <c r="F449" t="s">
        <v>101</v>
      </c>
      <c r="G449">
        <v>3.97</v>
      </c>
    </row>
    <row r="450" spans="1:7" outlineLevel="1" collapsed="1" x14ac:dyDescent="0.3">
      <c r="B450" s="1" t="s">
        <v>954</v>
      </c>
      <c r="D450" t="str">
        <f>D449</f>
        <v>Male</v>
      </c>
      <c r="G450">
        <f>SUBTOTAL(9,G449:G449)</f>
        <v>3.97</v>
      </c>
    </row>
    <row r="451" spans="1:7" hidden="1" outlineLevel="2" x14ac:dyDescent="0.3">
      <c r="A451">
        <v>217</v>
      </c>
      <c r="B451" t="s">
        <v>332</v>
      </c>
      <c r="C451">
        <v>38</v>
      </c>
      <c r="D451" t="s">
        <v>8</v>
      </c>
      <c r="E451">
        <v>25</v>
      </c>
      <c r="F451" t="s">
        <v>114</v>
      </c>
      <c r="G451">
        <v>4.3499999999999996</v>
      </c>
    </row>
    <row r="452" spans="1:7" outlineLevel="1" collapsed="1" x14ac:dyDescent="0.3">
      <c r="B452" s="1" t="s">
        <v>955</v>
      </c>
      <c r="D452" t="str">
        <f>D451</f>
        <v>Male</v>
      </c>
      <c r="G452">
        <f>SUBTOTAL(9,G451:G451)</f>
        <v>4.3499999999999996</v>
      </c>
    </row>
    <row r="453" spans="1:7" hidden="1" outlineLevel="2" x14ac:dyDescent="0.3">
      <c r="A453">
        <v>554</v>
      </c>
      <c r="B453" t="s">
        <v>629</v>
      </c>
      <c r="C453">
        <v>22</v>
      </c>
      <c r="D453" t="s">
        <v>8</v>
      </c>
      <c r="E453">
        <v>63</v>
      </c>
      <c r="F453" t="s">
        <v>301</v>
      </c>
      <c r="G453">
        <v>4.99</v>
      </c>
    </row>
    <row r="454" spans="1:7" outlineLevel="1" collapsed="1" x14ac:dyDescent="0.3">
      <c r="B454" s="1" t="s">
        <v>956</v>
      </c>
      <c r="D454" t="str">
        <f>D453</f>
        <v>Male</v>
      </c>
      <c r="G454">
        <f>SUBTOTAL(9,G453:G453)</f>
        <v>4.99</v>
      </c>
    </row>
    <row r="455" spans="1:7" hidden="1" outlineLevel="2" x14ac:dyDescent="0.3">
      <c r="A455">
        <v>687</v>
      </c>
      <c r="B455" t="s">
        <v>710</v>
      </c>
      <c r="C455">
        <v>35</v>
      </c>
      <c r="D455" t="s">
        <v>8</v>
      </c>
      <c r="E455">
        <v>78</v>
      </c>
      <c r="F455" t="s">
        <v>208</v>
      </c>
      <c r="G455">
        <v>4.4000000000000004</v>
      </c>
    </row>
    <row r="456" spans="1:7" outlineLevel="1" collapsed="1" x14ac:dyDescent="0.3">
      <c r="B456" s="1" t="s">
        <v>957</v>
      </c>
      <c r="D456" t="str">
        <f>D455</f>
        <v>Male</v>
      </c>
      <c r="G456">
        <f>SUBTOTAL(9,G455:G455)</f>
        <v>4.4000000000000004</v>
      </c>
    </row>
    <row r="457" spans="1:7" hidden="1" outlineLevel="2" x14ac:dyDescent="0.3">
      <c r="A457">
        <v>221</v>
      </c>
      <c r="B457" t="s">
        <v>336</v>
      </c>
      <c r="C457">
        <v>30</v>
      </c>
      <c r="D457" t="s">
        <v>8</v>
      </c>
      <c r="E457">
        <v>175</v>
      </c>
      <c r="F457" t="s">
        <v>239</v>
      </c>
      <c r="G457">
        <v>4.4800000000000004</v>
      </c>
    </row>
    <row r="458" spans="1:7" outlineLevel="1" collapsed="1" x14ac:dyDescent="0.3">
      <c r="B458" s="1" t="s">
        <v>958</v>
      </c>
      <c r="D458" t="str">
        <f>D457</f>
        <v>Male</v>
      </c>
      <c r="G458">
        <f>SUBTOTAL(9,G457:G457)</f>
        <v>4.4800000000000004</v>
      </c>
    </row>
    <row r="459" spans="1:7" hidden="1" outlineLevel="2" x14ac:dyDescent="0.3">
      <c r="A459">
        <v>277</v>
      </c>
      <c r="B459" t="s">
        <v>393</v>
      </c>
      <c r="C459">
        <v>24</v>
      </c>
      <c r="D459" t="s">
        <v>8</v>
      </c>
      <c r="E459">
        <v>92</v>
      </c>
      <c r="F459" t="s">
        <v>13</v>
      </c>
      <c r="G459">
        <v>4.88</v>
      </c>
    </row>
    <row r="460" spans="1:7" outlineLevel="1" collapsed="1" x14ac:dyDescent="0.3">
      <c r="B460" s="1" t="s">
        <v>959</v>
      </c>
      <c r="D460" t="str">
        <f>D459</f>
        <v>Male</v>
      </c>
      <c r="G460">
        <f>SUBTOTAL(9,G459:G459)</f>
        <v>4.88</v>
      </c>
    </row>
    <row r="461" spans="1:7" hidden="1" outlineLevel="2" x14ac:dyDescent="0.3">
      <c r="A461">
        <v>395</v>
      </c>
      <c r="B461" t="s">
        <v>508</v>
      </c>
      <c r="C461">
        <v>17</v>
      </c>
      <c r="D461" t="s">
        <v>8</v>
      </c>
      <c r="E461">
        <v>152</v>
      </c>
      <c r="F461" t="s">
        <v>121</v>
      </c>
      <c r="G461">
        <v>1.74</v>
      </c>
    </row>
    <row r="462" spans="1:7" outlineLevel="1" collapsed="1" x14ac:dyDescent="0.3">
      <c r="B462" s="1" t="s">
        <v>960</v>
      </c>
      <c r="D462" t="str">
        <f>D461</f>
        <v>Male</v>
      </c>
      <c r="G462">
        <f>SUBTOTAL(9,G461:G461)</f>
        <v>1.74</v>
      </c>
    </row>
    <row r="463" spans="1:7" hidden="1" outlineLevel="2" x14ac:dyDescent="0.3">
      <c r="A463">
        <v>461</v>
      </c>
      <c r="B463" t="s">
        <v>561</v>
      </c>
      <c r="C463">
        <v>24</v>
      </c>
      <c r="D463" t="s">
        <v>8</v>
      </c>
      <c r="E463">
        <v>168</v>
      </c>
      <c r="F463" t="s">
        <v>52</v>
      </c>
      <c r="G463">
        <v>1.48</v>
      </c>
    </row>
    <row r="464" spans="1:7" hidden="1" outlineLevel="2" x14ac:dyDescent="0.3">
      <c r="A464">
        <v>779</v>
      </c>
      <c r="B464" t="s">
        <v>561</v>
      </c>
      <c r="C464">
        <v>24</v>
      </c>
      <c r="D464" t="s">
        <v>8</v>
      </c>
      <c r="E464">
        <v>50</v>
      </c>
      <c r="F464" t="s">
        <v>151</v>
      </c>
      <c r="G464">
        <v>4.5999999999999996</v>
      </c>
    </row>
    <row r="465" spans="1:7" outlineLevel="1" collapsed="1" x14ac:dyDescent="0.3">
      <c r="B465" s="1" t="s">
        <v>961</v>
      </c>
      <c r="D465" t="str">
        <f>D464</f>
        <v>Male</v>
      </c>
      <c r="G465">
        <f>SUBTOTAL(9,G463:G464)</f>
        <v>6.08</v>
      </c>
    </row>
    <row r="466" spans="1:7" hidden="1" outlineLevel="2" x14ac:dyDescent="0.3">
      <c r="A466">
        <v>239</v>
      </c>
      <c r="B466" t="s">
        <v>357</v>
      </c>
      <c r="C466">
        <v>30</v>
      </c>
      <c r="D466" t="s">
        <v>8</v>
      </c>
      <c r="E466">
        <v>19</v>
      </c>
      <c r="F466" t="s">
        <v>358</v>
      </c>
      <c r="G466">
        <v>1.02</v>
      </c>
    </row>
    <row r="467" spans="1:7" hidden="1" outlineLevel="2" x14ac:dyDescent="0.3">
      <c r="A467">
        <v>367</v>
      </c>
      <c r="B467" t="s">
        <v>357</v>
      </c>
      <c r="C467">
        <v>30</v>
      </c>
      <c r="D467" t="s">
        <v>8</v>
      </c>
      <c r="E467">
        <v>138</v>
      </c>
      <c r="F467" t="s">
        <v>103</v>
      </c>
      <c r="G467">
        <v>4.74</v>
      </c>
    </row>
    <row r="468" spans="1:7" outlineLevel="1" collapsed="1" x14ac:dyDescent="0.3">
      <c r="B468" s="1" t="s">
        <v>962</v>
      </c>
      <c r="D468" t="str">
        <f>D467</f>
        <v>Male</v>
      </c>
      <c r="G468">
        <f>SUBTOTAL(9,G466:G467)</f>
        <v>5.76</v>
      </c>
    </row>
    <row r="469" spans="1:7" hidden="1" outlineLevel="2" x14ac:dyDescent="0.3">
      <c r="A469">
        <v>501</v>
      </c>
      <c r="B469" t="s">
        <v>594</v>
      </c>
      <c r="C469">
        <v>32</v>
      </c>
      <c r="D469" t="s">
        <v>8</v>
      </c>
      <c r="E469">
        <v>151</v>
      </c>
      <c r="F469" t="s">
        <v>56</v>
      </c>
      <c r="G469">
        <v>3.4</v>
      </c>
    </row>
    <row r="470" spans="1:7" outlineLevel="1" collapsed="1" x14ac:dyDescent="0.3">
      <c r="B470" s="1" t="s">
        <v>963</v>
      </c>
      <c r="D470" t="str">
        <f>D469</f>
        <v>Male</v>
      </c>
      <c r="G470">
        <f>SUBTOTAL(9,G469:G469)</f>
        <v>3.4</v>
      </c>
    </row>
    <row r="471" spans="1:7" hidden="1" outlineLevel="2" x14ac:dyDescent="0.3">
      <c r="A471">
        <v>459</v>
      </c>
      <c r="B471" t="s">
        <v>559</v>
      </c>
      <c r="C471">
        <v>30</v>
      </c>
      <c r="D471" t="s">
        <v>8</v>
      </c>
      <c r="E471">
        <v>129</v>
      </c>
      <c r="F471" t="s">
        <v>163</v>
      </c>
      <c r="G471">
        <v>1.54</v>
      </c>
    </row>
    <row r="472" spans="1:7" outlineLevel="1" collapsed="1" x14ac:dyDescent="0.3">
      <c r="B472" s="1" t="s">
        <v>964</v>
      </c>
      <c r="D472" t="str">
        <f>D471</f>
        <v>Male</v>
      </c>
      <c r="G472">
        <f>SUBTOTAL(9,G471:G471)</f>
        <v>1.54</v>
      </c>
    </row>
    <row r="473" spans="1:7" hidden="1" outlineLevel="2" x14ac:dyDescent="0.3">
      <c r="A473">
        <v>634</v>
      </c>
      <c r="B473" t="s">
        <v>675</v>
      </c>
      <c r="C473">
        <v>16</v>
      </c>
      <c r="D473" t="s">
        <v>8</v>
      </c>
      <c r="E473">
        <v>103</v>
      </c>
      <c r="F473" t="s">
        <v>280</v>
      </c>
      <c r="G473">
        <v>4.3499999999999996</v>
      </c>
    </row>
    <row r="474" spans="1:7" outlineLevel="1" collapsed="1" x14ac:dyDescent="0.3">
      <c r="B474" s="1" t="s">
        <v>965</v>
      </c>
      <c r="D474" t="str">
        <f>D473</f>
        <v>Male</v>
      </c>
      <c r="G474">
        <f>SUBTOTAL(9,G473:G473)</f>
        <v>4.3499999999999996</v>
      </c>
    </row>
    <row r="475" spans="1:7" hidden="1" outlineLevel="2" x14ac:dyDescent="0.3">
      <c r="A475">
        <v>89</v>
      </c>
      <c r="B475" t="s">
        <v>165</v>
      </c>
      <c r="C475">
        <v>22</v>
      </c>
      <c r="D475" t="s">
        <v>8</v>
      </c>
      <c r="E475">
        <v>17</v>
      </c>
      <c r="F475" t="s">
        <v>166</v>
      </c>
      <c r="G475">
        <v>1.7</v>
      </c>
    </row>
    <row r="476" spans="1:7" outlineLevel="1" collapsed="1" x14ac:dyDescent="0.3">
      <c r="B476" s="1" t="s">
        <v>966</v>
      </c>
      <c r="D476" t="str">
        <f>D475</f>
        <v>Male</v>
      </c>
      <c r="G476">
        <f>SUBTOTAL(9,G475:G475)</f>
        <v>1.7</v>
      </c>
    </row>
    <row r="477" spans="1:7" hidden="1" outlineLevel="2" x14ac:dyDescent="0.3">
      <c r="A477">
        <v>211</v>
      </c>
      <c r="B477" t="s">
        <v>325</v>
      </c>
      <c r="C477">
        <v>17</v>
      </c>
      <c r="D477" t="s">
        <v>8</v>
      </c>
      <c r="E477">
        <v>120</v>
      </c>
      <c r="F477" t="s">
        <v>225</v>
      </c>
      <c r="G477">
        <v>3.08</v>
      </c>
    </row>
    <row r="478" spans="1:7" outlineLevel="1" collapsed="1" x14ac:dyDescent="0.3">
      <c r="B478" s="1" t="s">
        <v>967</v>
      </c>
      <c r="D478" t="str">
        <f>D477</f>
        <v>Male</v>
      </c>
      <c r="G478">
        <f>SUBTOTAL(9,G477:G477)</f>
        <v>3.08</v>
      </c>
    </row>
    <row r="479" spans="1:7" hidden="1" outlineLevel="2" x14ac:dyDescent="0.3">
      <c r="A479">
        <v>539</v>
      </c>
      <c r="B479" t="s">
        <v>619</v>
      </c>
      <c r="C479">
        <v>11</v>
      </c>
      <c r="D479" t="s">
        <v>8</v>
      </c>
      <c r="E479">
        <v>117</v>
      </c>
      <c r="F479" t="s">
        <v>207</v>
      </c>
      <c r="G479">
        <v>1.79</v>
      </c>
    </row>
    <row r="480" spans="1:7" outlineLevel="1" collapsed="1" x14ac:dyDescent="0.3">
      <c r="B480" s="1" t="s">
        <v>968</v>
      </c>
      <c r="D480" t="str">
        <f>D479</f>
        <v>Male</v>
      </c>
      <c r="G480">
        <f>SUBTOTAL(9,G479:G479)</f>
        <v>1.79</v>
      </c>
    </row>
    <row r="481" spans="1:7" hidden="1" outlineLevel="2" x14ac:dyDescent="0.3">
      <c r="A481">
        <v>757</v>
      </c>
      <c r="B481" t="s">
        <v>755</v>
      </c>
      <c r="C481">
        <v>18</v>
      </c>
      <c r="D481" t="s">
        <v>8</v>
      </c>
      <c r="E481">
        <v>57</v>
      </c>
      <c r="F481" t="s">
        <v>50</v>
      </c>
      <c r="G481">
        <v>4.5999999999999996</v>
      </c>
    </row>
    <row r="482" spans="1:7" outlineLevel="1" collapsed="1" x14ac:dyDescent="0.3">
      <c r="B482" s="1" t="s">
        <v>969</v>
      </c>
      <c r="D482" t="str">
        <f>D481</f>
        <v>Male</v>
      </c>
      <c r="G482">
        <f>SUBTOTAL(9,G481:G481)</f>
        <v>4.5999999999999996</v>
      </c>
    </row>
    <row r="483" spans="1:7" hidden="1" outlineLevel="2" x14ac:dyDescent="0.3">
      <c r="A483">
        <v>495</v>
      </c>
      <c r="B483" t="s">
        <v>589</v>
      </c>
      <c r="C483">
        <v>24</v>
      </c>
      <c r="D483" t="s">
        <v>8</v>
      </c>
      <c r="E483">
        <v>97</v>
      </c>
      <c r="F483" t="s">
        <v>348</v>
      </c>
      <c r="G483">
        <v>2.5</v>
      </c>
    </row>
    <row r="484" spans="1:7" outlineLevel="1" collapsed="1" x14ac:dyDescent="0.3">
      <c r="B484" s="1" t="s">
        <v>970</v>
      </c>
      <c r="D484" t="str">
        <f>D483</f>
        <v>Male</v>
      </c>
      <c r="G484">
        <f>SUBTOTAL(9,G483:G483)</f>
        <v>2.5</v>
      </c>
    </row>
    <row r="485" spans="1:7" hidden="1" outlineLevel="2" x14ac:dyDescent="0.3">
      <c r="A485">
        <v>532</v>
      </c>
      <c r="B485" t="s">
        <v>615</v>
      </c>
      <c r="C485">
        <v>16</v>
      </c>
      <c r="D485" t="s">
        <v>8</v>
      </c>
      <c r="E485">
        <v>21</v>
      </c>
      <c r="F485" t="s">
        <v>25</v>
      </c>
      <c r="G485">
        <v>1.1000000000000001</v>
      </c>
    </row>
    <row r="486" spans="1:7" outlineLevel="1" collapsed="1" x14ac:dyDescent="0.3">
      <c r="B486" s="1" t="s">
        <v>971</v>
      </c>
      <c r="D486" t="str">
        <f>D485</f>
        <v>Male</v>
      </c>
      <c r="G486">
        <f>SUBTOTAL(9,G485:G485)</f>
        <v>1.1000000000000001</v>
      </c>
    </row>
    <row r="487" spans="1:7" hidden="1" outlineLevel="2" x14ac:dyDescent="0.3">
      <c r="A487">
        <v>449</v>
      </c>
      <c r="B487" t="s">
        <v>549</v>
      </c>
      <c r="C487">
        <v>13</v>
      </c>
      <c r="D487" t="s">
        <v>8</v>
      </c>
      <c r="E487">
        <v>34</v>
      </c>
      <c r="F487" t="s">
        <v>132</v>
      </c>
      <c r="G487">
        <v>2.2200000000000002</v>
      </c>
    </row>
    <row r="488" spans="1:7" outlineLevel="1" collapsed="1" x14ac:dyDescent="0.3">
      <c r="B488" s="1" t="s">
        <v>972</v>
      </c>
      <c r="D488" t="str">
        <f>D487</f>
        <v>Male</v>
      </c>
      <c r="G488">
        <f>SUBTOTAL(9,G487:G487)</f>
        <v>2.2200000000000002</v>
      </c>
    </row>
    <row r="489" spans="1:7" hidden="1" outlineLevel="2" x14ac:dyDescent="0.3">
      <c r="A489">
        <v>656</v>
      </c>
      <c r="B489" t="s">
        <v>690</v>
      </c>
      <c r="C489">
        <v>26</v>
      </c>
      <c r="D489" t="s">
        <v>8</v>
      </c>
      <c r="E489">
        <v>115</v>
      </c>
      <c r="F489" t="s">
        <v>647</v>
      </c>
      <c r="G489">
        <v>2.04</v>
      </c>
    </row>
    <row r="490" spans="1:7" outlineLevel="1" collapsed="1" x14ac:dyDescent="0.3">
      <c r="B490" s="1" t="s">
        <v>973</v>
      </c>
      <c r="D490" t="str">
        <f>D489</f>
        <v>Male</v>
      </c>
      <c r="G490">
        <f>SUBTOTAL(9,G489:G489)</f>
        <v>2.04</v>
      </c>
    </row>
    <row r="491" spans="1:7" hidden="1" outlineLevel="2" x14ac:dyDescent="0.3">
      <c r="A491">
        <v>135</v>
      </c>
      <c r="B491" t="s">
        <v>230</v>
      </c>
      <c r="C491">
        <v>30</v>
      </c>
      <c r="D491" t="s">
        <v>8</v>
      </c>
      <c r="E491">
        <v>146</v>
      </c>
      <c r="F491" t="s">
        <v>231</v>
      </c>
      <c r="G491">
        <v>3.1</v>
      </c>
    </row>
    <row r="492" spans="1:7" outlineLevel="1" collapsed="1" x14ac:dyDescent="0.3">
      <c r="B492" s="1" t="s">
        <v>974</v>
      </c>
      <c r="D492" t="str">
        <f>D491</f>
        <v>Male</v>
      </c>
      <c r="G492">
        <f>SUBTOTAL(9,G491:G491)</f>
        <v>3.1</v>
      </c>
    </row>
    <row r="493" spans="1:7" hidden="1" outlineLevel="2" x14ac:dyDescent="0.3">
      <c r="A493">
        <v>368</v>
      </c>
      <c r="B493" t="s">
        <v>483</v>
      </c>
      <c r="C493">
        <v>20</v>
      </c>
      <c r="D493" t="s">
        <v>8</v>
      </c>
      <c r="E493">
        <v>3</v>
      </c>
      <c r="F493" t="s">
        <v>259</v>
      </c>
      <c r="G493">
        <v>2.4900000000000002</v>
      </c>
    </row>
    <row r="494" spans="1:7" outlineLevel="1" collapsed="1" x14ac:dyDescent="0.3">
      <c r="B494" s="1" t="s">
        <v>975</v>
      </c>
      <c r="D494" t="str">
        <f>D493</f>
        <v>Male</v>
      </c>
      <c r="G494">
        <f>SUBTOTAL(9,G493:G493)</f>
        <v>2.4900000000000002</v>
      </c>
    </row>
    <row r="495" spans="1:7" hidden="1" outlineLevel="2" x14ac:dyDescent="0.3">
      <c r="A495">
        <v>457</v>
      </c>
      <c r="B495" t="s">
        <v>556</v>
      </c>
      <c r="C495">
        <v>25</v>
      </c>
      <c r="D495" t="s">
        <v>8</v>
      </c>
      <c r="E495">
        <v>61</v>
      </c>
      <c r="F495" t="s">
        <v>557</v>
      </c>
      <c r="G495">
        <v>3.87</v>
      </c>
    </row>
    <row r="496" spans="1:7" outlineLevel="1" collapsed="1" x14ac:dyDescent="0.3">
      <c r="B496" s="1" t="s">
        <v>976</v>
      </c>
      <c r="D496" t="str">
        <f>D495</f>
        <v>Male</v>
      </c>
      <c r="G496">
        <f>SUBTOTAL(9,G495:G495)</f>
        <v>3.87</v>
      </c>
    </row>
    <row r="497" spans="1:7" hidden="1" outlineLevel="2" x14ac:dyDescent="0.3">
      <c r="A497">
        <v>288</v>
      </c>
      <c r="B497" t="s">
        <v>406</v>
      </c>
      <c r="C497">
        <v>18</v>
      </c>
      <c r="D497" t="s">
        <v>8</v>
      </c>
      <c r="E497">
        <v>156</v>
      </c>
      <c r="F497" t="s">
        <v>407</v>
      </c>
      <c r="G497">
        <v>1.77</v>
      </c>
    </row>
    <row r="498" spans="1:7" hidden="1" outlineLevel="2" x14ac:dyDescent="0.3">
      <c r="A498">
        <v>348</v>
      </c>
      <c r="B498" t="s">
        <v>406</v>
      </c>
      <c r="C498">
        <v>18</v>
      </c>
      <c r="D498" t="s">
        <v>8</v>
      </c>
      <c r="E498">
        <v>38</v>
      </c>
      <c r="F498" t="s">
        <v>425</v>
      </c>
      <c r="G498">
        <v>2.37</v>
      </c>
    </row>
    <row r="499" spans="1:7" outlineLevel="1" collapsed="1" x14ac:dyDescent="0.3">
      <c r="B499" s="1" t="s">
        <v>977</v>
      </c>
      <c r="D499" t="str">
        <f>D498</f>
        <v>Male</v>
      </c>
      <c r="G499">
        <f>SUBTOTAL(9,G497:G498)</f>
        <v>4.1400000000000006</v>
      </c>
    </row>
    <row r="500" spans="1:7" hidden="1" outlineLevel="2" x14ac:dyDescent="0.3">
      <c r="A500">
        <v>105</v>
      </c>
      <c r="B500" t="s">
        <v>186</v>
      </c>
      <c r="C500">
        <v>27</v>
      </c>
      <c r="D500" t="s">
        <v>8</v>
      </c>
      <c r="E500">
        <v>10</v>
      </c>
      <c r="F500" t="s">
        <v>187</v>
      </c>
      <c r="G500">
        <v>1.79</v>
      </c>
    </row>
    <row r="501" spans="1:7" outlineLevel="1" collapsed="1" x14ac:dyDescent="0.3">
      <c r="B501" s="1" t="s">
        <v>978</v>
      </c>
      <c r="D501" t="str">
        <f>D500</f>
        <v>Male</v>
      </c>
      <c r="G501">
        <f>SUBTOTAL(9,G500:G500)</f>
        <v>1.79</v>
      </c>
    </row>
    <row r="502" spans="1:7" hidden="1" outlineLevel="2" x14ac:dyDescent="0.3">
      <c r="A502">
        <v>209</v>
      </c>
      <c r="B502" t="s">
        <v>324</v>
      </c>
      <c r="C502">
        <v>22</v>
      </c>
      <c r="D502" t="s">
        <v>8</v>
      </c>
      <c r="E502">
        <v>162</v>
      </c>
      <c r="F502" t="s">
        <v>23</v>
      </c>
      <c r="G502">
        <v>2.67</v>
      </c>
    </row>
    <row r="503" spans="1:7" outlineLevel="1" collapsed="1" x14ac:dyDescent="0.3">
      <c r="B503" s="1" t="s">
        <v>979</v>
      </c>
      <c r="D503" t="str">
        <f>D502</f>
        <v>Male</v>
      </c>
      <c r="G503">
        <f>SUBTOTAL(9,G502:G502)</f>
        <v>2.67</v>
      </c>
    </row>
    <row r="504" spans="1:7" hidden="1" outlineLevel="2" x14ac:dyDescent="0.3">
      <c r="A504">
        <v>510</v>
      </c>
      <c r="B504" t="s">
        <v>599</v>
      </c>
      <c r="C504">
        <v>22</v>
      </c>
      <c r="D504" t="s">
        <v>8</v>
      </c>
      <c r="E504">
        <v>162</v>
      </c>
      <c r="F504" t="s">
        <v>23</v>
      </c>
      <c r="G504">
        <v>2.67</v>
      </c>
    </row>
    <row r="505" spans="1:7" outlineLevel="1" collapsed="1" x14ac:dyDescent="0.3">
      <c r="B505" s="1" t="s">
        <v>980</v>
      </c>
      <c r="D505" t="str">
        <f>D504</f>
        <v>Male</v>
      </c>
      <c r="G505">
        <f>SUBTOTAL(9,G504:G504)</f>
        <v>2.67</v>
      </c>
    </row>
    <row r="506" spans="1:7" hidden="1" outlineLevel="2" x14ac:dyDescent="0.3">
      <c r="A506">
        <v>638</v>
      </c>
      <c r="B506" t="s">
        <v>677</v>
      </c>
      <c r="C506">
        <v>24</v>
      </c>
      <c r="D506" t="s">
        <v>8</v>
      </c>
      <c r="E506">
        <v>22</v>
      </c>
      <c r="F506" t="s">
        <v>106</v>
      </c>
      <c r="G506">
        <v>2.1800000000000002</v>
      </c>
    </row>
    <row r="507" spans="1:7" outlineLevel="1" collapsed="1" x14ac:dyDescent="0.3">
      <c r="B507" s="1" t="s">
        <v>981</v>
      </c>
      <c r="D507" t="str">
        <f>D506</f>
        <v>Male</v>
      </c>
      <c r="G507">
        <f>SUBTOTAL(9,G506:G506)</f>
        <v>2.1800000000000002</v>
      </c>
    </row>
    <row r="508" spans="1:7" hidden="1" outlineLevel="2" x14ac:dyDescent="0.3">
      <c r="A508">
        <v>486</v>
      </c>
      <c r="B508" t="s">
        <v>581</v>
      </c>
      <c r="C508">
        <v>9</v>
      </c>
      <c r="D508" t="s">
        <v>8</v>
      </c>
      <c r="E508">
        <v>53</v>
      </c>
      <c r="F508" t="s">
        <v>80</v>
      </c>
      <c r="G508">
        <v>2.0499999999999998</v>
      </c>
    </row>
    <row r="509" spans="1:7" hidden="1" outlineLevel="2" x14ac:dyDescent="0.3">
      <c r="A509">
        <v>732</v>
      </c>
      <c r="B509" t="s">
        <v>581</v>
      </c>
      <c r="C509">
        <v>9</v>
      </c>
      <c r="D509" t="s">
        <v>8</v>
      </c>
      <c r="E509">
        <v>97</v>
      </c>
      <c r="F509" t="s">
        <v>348</v>
      </c>
      <c r="G509">
        <v>2.5</v>
      </c>
    </row>
    <row r="510" spans="1:7" outlineLevel="1" collapsed="1" x14ac:dyDescent="0.3">
      <c r="B510" s="1" t="s">
        <v>982</v>
      </c>
      <c r="D510" t="str">
        <f>D509</f>
        <v>Male</v>
      </c>
      <c r="G510">
        <f>SUBTOTAL(9,G508:G509)</f>
        <v>4.55</v>
      </c>
    </row>
    <row r="511" spans="1:7" hidden="1" outlineLevel="2" x14ac:dyDescent="0.3">
      <c r="A511">
        <v>397</v>
      </c>
      <c r="B511" t="s">
        <v>510</v>
      </c>
      <c r="C511">
        <v>25</v>
      </c>
      <c r="D511" t="s">
        <v>8</v>
      </c>
      <c r="E511">
        <v>100</v>
      </c>
      <c r="F511" t="s">
        <v>15</v>
      </c>
      <c r="G511">
        <v>3.27</v>
      </c>
    </row>
    <row r="512" spans="1:7" outlineLevel="1" collapsed="1" x14ac:dyDescent="0.3">
      <c r="B512" s="1" t="s">
        <v>983</v>
      </c>
      <c r="D512" t="str">
        <f>D511</f>
        <v>Male</v>
      </c>
      <c r="G512">
        <f>SUBTOTAL(9,G511:G511)</f>
        <v>3.27</v>
      </c>
    </row>
    <row r="513" spans="1:7" hidden="1" outlineLevel="2" x14ac:dyDescent="0.3">
      <c r="A513">
        <v>27</v>
      </c>
      <c r="B513" t="s">
        <v>63</v>
      </c>
      <c r="C513">
        <v>7</v>
      </c>
      <c r="D513" t="s">
        <v>8</v>
      </c>
      <c r="E513">
        <v>96</v>
      </c>
      <c r="F513" t="s">
        <v>64</v>
      </c>
      <c r="G513">
        <v>3.09</v>
      </c>
    </row>
    <row r="514" spans="1:7" outlineLevel="1" collapsed="1" x14ac:dyDescent="0.3">
      <c r="B514" s="1" t="s">
        <v>984</v>
      </c>
      <c r="D514" t="str">
        <f>D513</f>
        <v>Male</v>
      </c>
      <c r="G514">
        <f>SUBTOTAL(9,G513:G513)</f>
        <v>3.09</v>
      </c>
    </row>
    <row r="515" spans="1:7" hidden="1" outlineLevel="2" x14ac:dyDescent="0.3">
      <c r="A515">
        <v>648</v>
      </c>
      <c r="B515" t="s">
        <v>686</v>
      </c>
      <c r="C515">
        <v>39</v>
      </c>
      <c r="D515" t="s">
        <v>8</v>
      </c>
      <c r="E515">
        <v>150</v>
      </c>
      <c r="F515" t="s">
        <v>202</v>
      </c>
      <c r="G515">
        <v>2.85</v>
      </c>
    </row>
    <row r="516" spans="1:7" outlineLevel="1" collapsed="1" x14ac:dyDescent="0.3">
      <c r="B516" s="1" t="s">
        <v>985</v>
      </c>
      <c r="D516" t="str">
        <f>D515</f>
        <v>Male</v>
      </c>
      <c r="G516">
        <f>SUBTOTAL(9,G515:G515)</f>
        <v>2.85</v>
      </c>
    </row>
    <row r="517" spans="1:7" hidden="1" outlineLevel="2" x14ac:dyDescent="0.3">
      <c r="A517">
        <v>738</v>
      </c>
      <c r="B517" t="s">
        <v>742</v>
      </c>
      <c r="C517">
        <v>36</v>
      </c>
      <c r="D517" t="s">
        <v>8</v>
      </c>
      <c r="E517">
        <v>121</v>
      </c>
      <c r="F517" t="s">
        <v>463</v>
      </c>
      <c r="G517">
        <v>1.6</v>
      </c>
    </row>
    <row r="518" spans="1:7" outlineLevel="1" collapsed="1" x14ac:dyDescent="0.3">
      <c r="B518" s="1" t="s">
        <v>986</v>
      </c>
      <c r="D518" t="str">
        <f>D517</f>
        <v>Male</v>
      </c>
      <c r="G518">
        <f>SUBTOTAL(9,G517:G517)</f>
        <v>1.6</v>
      </c>
    </row>
    <row r="519" spans="1:7" hidden="1" outlineLevel="2" x14ac:dyDescent="0.3">
      <c r="A519">
        <v>371</v>
      </c>
      <c r="B519" t="s">
        <v>484</v>
      </c>
      <c r="C519">
        <v>23</v>
      </c>
      <c r="D519" t="s">
        <v>8</v>
      </c>
      <c r="E519">
        <v>155</v>
      </c>
      <c r="F519" t="s">
        <v>399</v>
      </c>
      <c r="G519">
        <v>1.01</v>
      </c>
    </row>
    <row r="520" spans="1:7" hidden="1" outlineLevel="2" x14ac:dyDescent="0.3">
      <c r="A520">
        <v>715</v>
      </c>
      <c r="B520" t="s">
        <v>484</v>
      </c>
      <c r="C520">
        <v>23</v>
      </c>
      <c r="D520" t="s">
        <v>8</v>
      </c>
      <c r="E520">
        <v>8</v>
      </c>
      <c r="F520" t="s">
        <v>237</v>
      </c>
      <c r="G520">
        <v>3.93</v>
      </c>
    </row>
    <row r="521" spans="1:7" outlineLevel="1" collapsed="1" x14ac:dyDescent="0.3">
      <c r="B521" s="1" t="s">
        <v>987</v>
      </c>
      <c r="D521" t="str">
        <f>D520</f>
        <v>Male</v>
      </c>
      <c r="G521">
        <f>SUBTOTAL(9,G519:G520)</f>
        <v>4.9400000000000004</v>
      </c>
    </row>
    <row r="522" spans="1:7" hidden="1" outlineLevel="2" x14ac:dyDescent="0.3">
      <c r="A522">
        <v>453</v>
      </c>
      <c r="B522" t="s">
        <v>553</v>
      </c>
      <c r="C522">
        <v>24</v>
      </c>
      <c r="D522" t="s">
        <v>8</v>
      </c>
      <c r="E522">
        <v>70</v>
      </c>
      <c r="F522" t="s">
        <v>379</v>
      </c>
      <c r="G522">
        <v>1.03</v>
      </c>
    </row>
    <row r="523" spans="1:7" outlineLevel="1" collapsed="1" x14ac:dyDescent="0.3">
      <c r="B523" s="1" t="s">
        <v>988</v>
      </c>
      <c r="D523" t="str">
        <f>D522</f>
        <v>Male</v>
      </c>
      <c r="G523">
        <f>SUBTOTAL(9,G522:G522)</f>
        <v>1.03</v>
      </c>
    </row>
    <row r="524" spans="1:7" hidden="1" outlineLevel="2" x14ac:dyDescent="0.3">
      <c r="A524">
        <v>473</v>
      </c>
      <c r="B524" t="s">
        <v>572</v>
      </c>
      <c r="C524">
        <v>21</v>
      </c>
      <c r="D524" t="s">
        <v>8</v>
      </c>
      <c r="E524">
        <v>25</v>
      </c>
      <c r="F524" t="s">
        <v>114</v>
      </c>
      <c r="G524">
        <v>4.3499999999999996</v>
      </c>
    </row>
    <row r="525" spans="1:7" outlineLevel="1" collapsed="1" x14ac:dyDescent="0.3">
      <c r="B525" s="1" t="s">
        <v>989</v>
      </c>
      <c r="D525" t="str">
        <f>D524</f>
        <v>Male</v>
      </c>
      <c r="G525">
        <f>SUBTOTAL(9,G524:G524)</f>
        <v>4.3499999999999996</v>
      </c>
    </row>
    <row r="526" spans="1:7" hidden="1" outlineLevel="2" x14ac:dyDescent="0.3">
      <c r="A526">
        <v>143</v>
      </c>
      <c r="B526" t="s">
        <v>240</v>
      </c>
      <c r="C526">
        <v>34</v>
      </c>
      <c r="D526" t="s">
        <v>8</v>
      </c>
      <c r="E526">
        <v>124</v>
      </c>
      <c r="F526" t="s">
        <v>146</v>
      </c>
      <c r="G526">
        <v>1.29</v>
      </c>
    </row>
    <row r="527" spans="1:7" outlineLevel="1" collapsed="1" x14ac:dyDescent="0.3">
      <c r="B527" s="1" t="s">
        <v>990</v>
      </c>
      <c r="D527" t="str">
        <f>D526</f>
        <v>Male</v>
      </c>
      <c r="G527">
        <f>SUBTOTAL(9,G526:G526)</f>
        <v>1.29</v>
      </c>
    </row>
    <row r="528" spans="1:7" hidden="1" outlineLevel="2" x14ac:dyDescent="0.3">
      <c r="A528">
        <v>23</v>
      </c>
      <c r="B528" t="s">
        <v>55</v>
      </c>
      <c r="C528">
        <v>40</v>
      </c>
      <c r="D528" t="s">
        <v>8</v>
      </c>
      <c r="E528">
        <v>151</v>
      </c>
      <c r="F528" t="s">
        <v>56</v>
      </c>
      <c r="G528">
        <v>3.4</v>
      </c>
    </row>
    <row r="529" spans="1:7" hidden="1" outlineLevel="2" x14ac:dyDescent="0.3">
      <c r="A529">
        <v>156</v>
      </c>
      <c r="B529" t="s">
        <v>55</v>
      </c>
      <c r="C529">
        <v>40</v>
      </c>
      <c r="D529" t="s">
        <v>8</v>
      </c>
      <c r="E529">
        <v>117</v>
      </c>
      <c r="F529" t="s">
        <v>207</v>
      </c>
      <c r="G529">
        <v>1.79</v>
      </c>
    </row>
    <row r="530" spans="1:7" outlineLevel="1" collapsed="1" x14ac:dyDescent="0.3">
      <c r="B530" s="1" t="s">
        <v>991</v>
      </c>
      <c r="D530" t="str">
        <f>D529</f>
        <v>Male</v>
      </c>
      <c r="G530">
        <f>SUBTOTAL(9,G528:G529)</f>
        <v>5.1899999999999995</v>
      </c>
    </row>
    <row r="531" spans="1:7" hidden="1" outlineLevel="2" x14ac:dyDescent="0.3">
      <c r="A531">
        <v>605</v>
      </c>
      <c r="B531" t="s">
        <v>661</v>
      </c>
      <c r="C531">
        <v>18</v>
      </c>
      <c r="D531" t="s">
        <v>8</v>
      </c>
      <c r="E531">
        <v>159</v>
      </c>
      <c r="F531" t="s">
        <v>327</v>
      </c>
      <c r="G531">
        <v>3.08</v>
      </c>
    </row>
    <row r="532" spans="1:7" outlineLevel="1" collapsed="1" x14ac:dyDescent="0.3">
      <c r="B532" s="1" t="s">
        <v>992</v>
      </c>
      <c r="D532" t="str">
        <f>D531</f>
        <v>Male</v>
      </c>
      <c r="G532">
        <f>SUBTOTAL(9,G531:G531)</f>
        <v>3.08</v>
      </c>
    </row>
    <row r="533" spans="1:7" hidden="1" outlineLevel="2" x14ac:dyDescent="0.3">
      <c r="A533">
        <v>31</v>
      </c>
      <c r="B533" t="s">
        <v>71</v>
      </c>
      <c r="C533">
        <v>37</v>
      </c>
      <c r="D533" t="s">
        <v>8</v>
      </c>
      <c r="E533">
        <v>179</v>
      </c>
      <c r="F533" t="s">
        <v>72</v>
      </c>
      <c r="G533">
        <v>4.4800000000000004</v>
      </c>
    </row>
    <row r="534" spans="1:7" outlineLevel="1" collapsed="1" x14ac:dyDescent="0.3">
      <c r="B534" s="1" t="s">
        <v>993</v>
      </c>
      <c r="D534" t="str">
        <f>D533</f>
        <v>Male</v>
      </c>
      <c r="G534">
        <f>SUBTOTAL(9,G533:G533)</f>
        <v>4.4800000000000004</v>
      </c>
    </row>
    <row r="535" spans="1:7" hidden="1" outlineLevel="2" x14ac:dyDescent="0.3">
      <c r="A535">
        <v>594</v>
      </c>
      <c r="B535" t="s">
        <v>655</v>
      </c>
      <c r="C535">
        <v>27</v>
      </c>
      <c r="D535" t="s">
        <v>8</v>
      </c>
      <c r="E535">
        <v>89</v>
      </c>
      <c r="F535" t="s">
        <v>48</v>
      </c>
      <c r="G535">
        <v>4.6399999999999997</v>
      </c>
    </row>
    <row r="536" spans="1:7" outlineLevel="1" collapsed="1" x14ac:dyDescent="0.3">
      <c r="B536" s="1" t="s">
        <v>994</v>
      </c>
      <c r="D536" t="str">
        <f>D535</f>
        <v>Male</v>
      </c>
      <c r="G536">
        <f>SUBTOTAL(9,G535:G535)</f>
        <v>4.6399999999999997</v>
      </c>
    </row>
    <row r="537" spans="1:7" hidden="1" outlineLevel="2" x14ac:dyDescent="0.3">
      <c r="A537">
        <v>632</v>
      </c>
      <c r="B537" t="s">
        <v>674</v>
      </c>
      <c r="C537">
        <v>17</v>
      </c>
      <c r="D537" t="s">
        <v>8</v>
      </c>
      <c r="E537">
        <v>160</v>
      </c>
      <c r="F537" t="s">
        <v>78</v>
      </c>
      <c r="G537">
        <v>4.4000000000000004</v>
      </c>
    </row>
    <row r="538" spans="1:7" outlineLevel="1" collapsed="1" x14ac:dyDescent="0.3">
      <c r="B538" s="1" t="s">
        <v>995</v>
      </c>
      <c r="D538" t="str">
        <f>D537</f>
        <v>Male</v>
      </c>
      <c r="G538">
        <f>SUBTOTAL(9,G537:G537)</f>
        <v>4.4000000000000004</v>
      </c>
    </row>
    <row r="539" spans="1:7" hidden="1" outlineLevel="2" x14ac:dyDescent="0.3">
      <c r="A539">
        <v>577</v>
      </c>
      <c r="B539" t="s">
        <v>643</v>
      </c>
      <c r="C539">
        <v>19</v>
      </c>
      <c r="D539" t="s">
        <v>8</v>
      </c>
      <c r="E539">
        <v>128</v>
      </c>
      <c r="F539" t="s">
        <v>402</v>
      </c>
      <c r="G539">
        <v>4.91</v>
      </c>
    </row>
    <row r="540" spans="1:7" outlineLevel="1" collapsed="1" x14ac:dyDescent="0.3">
      <c r="B540" s="1" t="s">
        <v>996</v>
      </c>
      <c r="D540" t="str">
        <f>D539</f>
        <v>Male</v>
      </c>
      <c r="G540">
        <f>SUBTOTAL(9,G539:G539)</f>
        <v>4.91</v>
      </c>
    </row>
    <row r="541" spans="1:7" hidden="1" outlineLevel="2" x14ac:dyDescent="0.3">
      <c r="A541">
        <v>284</v>
      </c>
      <c r="B541" t="s">
        <v>401</v>
      </c>
      <c r="C541">
        <v>24</v>
      </c>
      <c r="D541" t="s">
        <v>8</v>
      </c>
      <c r="E541">
        <v>128</v>
      </c>
      <c r="F541" t="s">
        <v>402</v>
      </c>
      <c r="G541">
        <v>4.91</v>
      </c>
    </row>
    <row r="542" spans="1:7" outlineLevel="1" collapsed="1" x14ac:dyDescent="0.3">
      <c r="B542" s="1" t="s">
        <v>997</v>
      </c>
      <c r="D542" t="str">
        <f>D541</f>
        <v>Male</v>
      </c>
      <c r="G542">
        <f>SUBTOTAL(9,G541:G541)</f>
        <v>4.91</v>
      </c>
    </row>
    <row r="543" spans="1:7" hidden="1" outlineLevel="2" x14ac:dyDescent="0.3">
      <c r="A543">
        <v>693</v>
      </c>
      <c r="B543" t="s">
        <v>712</v>
      </c>
      <c r="C543">
        <v>23</v>
      </c>
      <c r="D543" t="s">
        <v>8</v>
      </c>
      <c r="E543">
        <v>88</v>
      </c>
      <c r="F543" t="s">
        <v>148</v>
      </c>
      <c r="G543">
        <v>3.75</v>
      </c>
    </row>
    <row r="544" spans="1:7" outlineLevel="1" collapsed="1" x14ac:dyDescent="0.3">
      <c r="B544" s="1" t="s">
        <v>998</v>
      </c>
      <c r="D544" t="str">
        <f>D543</f>
        <v>Male</v>
      </c>
      <c r="G544">
        <f>SUBTOTAL(9,G543:G543)</f>
        <v>3.75</v>
      </c>
    </row>
    <row r="545" spans="1:7" hidden="1" outlineLevel="2" x14ac:dyDescent="0.3">
      <c r="A545">
        <v>498</v>
      </c>
      <c r="B545" t="s">
        <v>591</v>
      </c>
      <c r="C545">
        <v>35</v>
      </c>
      <c r="D545" t="s">
        <v>8</v>
      </c>
      <c r="E545">
        <v>108</v>
      </c>
      <c r="F545" t="s">
        <v>9</v>
      </c>
      <c r="G545">
        <v>3.53</v>
      </c>
    </row>
    <row r="546" spans="1:7" outlineLevel="1" collapsed="1" x14ac:dyDescent="0.3">
      <c r="B546" s="1" t="s">
        <v>999</v>
      </c>
      <c r="D546" t="str">
        <f>D545</f>
        <v>Male</v>
      </c>
      <c r="G546">
        <f>SUBTOTAL(9,G545:G545)</f>
        <v>3.53</v>
      </c>
    </row>
    <row r="547" spans="1:7" hidden="1" outlineLevel="2" x14ac:dyDescent="0.3">
      <c r="A547">
        <v>173</v>
      </c>
      <c r="B547" t="s">
        <v>275</v>
      </c>
      <c r="C547">
        <v>30</v>
      </c>
      <c r="D547" t="s">
        <v>8</v>
      </c>
      <c r="E547">
        <v>5</v>
      </c>
      <c r="F547" t="s">
        <v>276</v>
      </c>
      <c r="G547">
        <v>4.08</v>
      </c>
    </row>
    <row r="548" spans="1:7" outlineLevel="1" collapsed="1" x14ac:dyDescent="0.3">
      <c r="B548" s="1" t="s">
        <v>1000</v>
      </c>
      <c r="D548" t="str">
        <f>D547</f>
        <v>Male</v>
      </c>
      <c r="G548">
        <f>SUBTOTAL(9,G547:G547)</f>
        <v>4.08</v>
      </c>
    </row>
    <row r="549" spans="1:7" hidden="1" outlineLevel="2" x14ac:dyDescent="0.3">
      <c r="A549">
        <v>403</v>
      </c>
      <c r="B549" t="s">
        <v>515</v>
      </c>
      <c r="C549">
        <v>24</v>
      </c>
      <c r="D549" t="s">
        <v>8</v>
      </c>
      <c r="E549">
        <v>162</v>
      </c>
      <c r="F549" t="s">
        <v>23</v>
      </c>
      <c r="G549">
        <v>2.67</v>
      </c>
    </row>
    <row r="550" spans="1:7" outlineLevel="1" collapsed="1" x14ac:dyDescent="0.3">
      <c r="B550" s="1" t="s">
        <v>1001</v>
      </c>
      <c r="D550" t="str">
        <f>D549</f>
        <v>Male</v>
      </c>
      <c r="G550">
        <f>SUBTOTAL(9,G549:G549)</f>
        <v>2.67</v>
      </c>
    </row>
    <row r="551" spans="1:7" hidden="1" outlineLevel="2" x14ac:dyDescent="0.3">
      <c r="A551">
        <v>301</v>
      </c>
      <c r="B551" t="s">
        <v>419</v>
      </c>
      <c r="C551">
        <v>25</v>
      </c>
      <c r="D551" t="s">
        <v>8</v>
      </c>
      <c r="E551">
        <v>106</v>
      </c>
      <c r="F551" t="s">
        <v>420</v>
      </c>
      <c r="G551">
        <v>3.41</v>
      </c>
    </row>
    <row r="552" spans="1:7" hidden="1" outlineLevel="2" x14ac:dyDescent="0.3">
      <c r="A552">
        <v>463</v>
      </c>
      <c r="B552" t="s">
        <v>419</v>
      </c>
      <c r="C552">
        <v>25</v>
      </c>
      <c r="D552" t="s">
        <v>8</v>
      </c>
      <c r="E552">
        <v>48</v>
      </c>
      <c r="F552" t="s">
        <v>563</v>
      </c>
      <c r="G552">
        <v>2.48</v>
      </c>
    </row>
    <row r="553" spans="1:7" outlineLevel="1" collapsed="1" x14ac:dyDescent="0.3">
      <c r="B553" s="1" t="s">
        <v>1002</v>
      </c>
      <c r="D553" t="str">
        <f>D552</f>
        <v>Male</v>
      </c>
      <c r="G553">
        <f>SUBTOTAL(9,G551:G552)</f>
        <v>5.8900000000000006</v>
      </c>
    </row>
    <row r="554" spans="1:7" hidden="1" outlineLevel="2" x14ac:dyDescent="0.3">
      <c r="A554">
        <v>194</v>
      </c>
      <c r="B554" t="s">
        <v>307</v>
      </c>
      <c r="C554">
        <v>20</v>
      </c>
      <c r="D554" t="s">
        <v>8</v>
      </c>
      <c r="E554">
        <v>73</v>
      </c>
      <c r="F554" t="s">
        <v>84</v>
      </c>
      <c r="G554">
        <v>2.0499999999999998</v>
      </c>
    </row>
    <row r="555" spans="1:7" outlineLevel="1" collapsed="1" x14ac:dyDescent="0.3">
      <c r="B555" s="1" t="s">
        <v>1003</v>
      </c>
      <c r="D555" t="str">
        <f>D554</f>
        <v>Male</v>
      </c>
      <c r="G555">
        <f>SUBTOTAL(9,G554:G554)</f>
        <v>2.0499999999999998</v>
      </c>
    </row>
    <row r="556" spans="1:7" hidden="1" outlineLevel="2" x14ac:dyDescent="0.3">
      <c r="A556">
        <v>557</v>
      </c>
      <c r="B556" t="s">
        <v>631</v>
      </c>
      <c r="C556">
        <v>42</v>
      </c>
      <c r="D556" t="s">
        <v>8</v>
      </c>
      <c r="E556">
        <v>8</v>
      </c>
      <c r="F556" t="s">
        <v>237</v>
      </c>
      <c r="G556">
        <v>3.93</v>
      </c>
    </row>
    <row r="557" spans="1:7" outlineLevel="1" collapsed="1" x14ac:dyDescent="0.3">
      <c r="B557" s="1" t="s">
        <v>1004</v>
      </c>
      <c r="D557" t="str">
        <f>D556</f>
        <v>Male</v>
      </c>
      <c r="G557">
        <f>SUBTOTAL(9,G556:G556)</f>
        <v>3.93</v>
      </c>
    </row>
    <row r="558" spans="1:7" hidden="1" outlineLevel="2" x14ac:dyDescent="0.3">
      <c r="A558">
        <v>743</v>
      </c>
      <c r="B558" t="s">
        <v>746</v>
      </c>
      <c r="C558">
        <v>15</v>
      </c>
      <c r="D558" t="s">
        <v>8</v>
      </c>
      <c r="E558">
        <v>110</v>
      </c>
      <c r="F558" t="s">
        <v>105</v>
      </c>
      <c r="G558">
        <v>1.44</v>
      </c>
    </row>
    <row r="559" spans="1:7" outlineLevel="1" collapsed="1" x14ac:dyDescent="0.3">
      <c r="B559" s="1" t="s">
        <v>1005</v>
      </c>
      <c r="D559" t="str">
        <f>D558</f>
        <v>Male</v>
      </c>
      <c r="G559">
        <f>SUBTOTAL(9,G558:G558)</f>
        <v>1.44</v>
      </c>
    </row>
    <row r="560" spans="1:7" hidden="1" outlineLevel="2" x14ac:dyDescent="0.3">
      <c r="A560">
        <v>103</v>
      </c>
      <c r="B560" t="s">
        <v>184</v>
      </c>
      <c r="C560">
        <v>24</v>
      </c>
      <c r="D560" t="s">
        <v>8</v>
      </c>
      <c r="E560">
        <v>7</v>
      </c>
      <c r="F560" t="s">
        <v>90</v>
      </c>
      <c r="G560">
        <v>1.33</v>
      </c>
    </row>
    <row r="561" spans="1:7" hidden="1" outlineLevel="2" x14ac:dyDescent="0.3">
      <c r="A561">
        <v>126</v>
      </c>
      <c r="B561" t="s">
        <v>184</v>
      </c>
      <c r="C561">
        <v>24</v>
      </c>
      <c r="D561" t="s">
        <v>8</v>
      </c>
      <c r="E561">
        <v>75</v>
      </c>
      <c r="F561" t="s">
        <v>218</v>
      </c>
      <c r="G561">
        <v>2.42</v>
      </c>
    </row>
    <row r="562" spans="1:7" outlineLevel="1" collapsed="1" x14ac:dyDescent="0.3">
      <c r="B562" s="1" t="s">
        <v>1006</v>
      </c>
      <c r="D562" t="str">
        <f>D561</f>
        <v>Male</v>
      </c>
      <c r="G562">
        <f>SUBTOTAL(9,G560:G561)</f>
        <v>3.75</v>
      </c>
    </row>
    <row r="563" spans="1:7" hidden="1" outlineLevel="2" x14ac:dyDescent="0.3">
      <c r="A563">
        <v>753</v>
      </c>
      <c r="B563" t="s">
        <v>753</v>
      </c>
      <c r="C563">
        <v>36</v>
      </c>
      <c r="D563" t="s">
        <v>8</v>
      </c>
      <c r="E563">
        <v>178</v>
      </c>
      <c r="F563" t="s">
        <v>60</v>
      </c>
      <c r="G563">
        <v>4.2300000000000004</v>
      </c>
    </row>
    <row r="564" spans="1:7" outlineLevel="1" collapsed="1" x14ac:dyDescent="0.3">
      <c r="B564" s="1" t="s">
        <v>1007</v>
      </c>
      <c r="D564" t="str">
        <f>D563</f>
        <v>Male</v>
      </c>
      <c r="G564">
        <f>SUBTOTAL(9,G563:G563)</f>
        <v>4.2300000000000004</v>
      </c>
    </row>
    <row r="565" spans="1:7" hidden="1" outlineLevel="2" x14ac:dyDescent="0.3">
      <c r="A565">
        <v>191</v>
      </c>
      <c r="B565" t="s">
        <v>304</v>
      </c>
      <c r="C565">
        <v>23</v>
      </c>
      <c r="D565" t="s">
        <v>8</v>
      </c>
      <c r="E565">
        <v>87</v>
      </c>
      <c r="F565" t="s">
        <v>210</v>
      </c>
      <c r="G565">
        <v>4.43</v>
      </c>
    </row>
    <row r="566" spans="1:7" outlineLevel="1" collapsed="1" x14ac:dyDescent="0.3">
      <c r="B566" s="1" t="s">
        <v>1008</v>
      </c>
      <c r="D566" t="str">
        <f>D565</f>
        <v>Male</v>
      </c>
      <c r="G566">
        <f>SUBTOTAL(9,G565:G565)</f>
        <v>4.43</v>
      </c>
    </row>
    <row r="567" spans="1:7" hidden="1" outlineLevel="2" x14ac:dyDescent="0.3">
      <c r="A567">
        <v>361</v>
      </c>
      <c r="B567" t="s">
        <v>477</v>
      </c>
      <c r="C567">
        <v>25</v>
      </c>
      <c r="D567" t="s">
        <v>8</v>
      </c>
      <c r="E567">
        <v>19</v>
      </c>
      <c r="F567" t="s">
        <v>358</v>
      </c>
      <c r="G567">
        <v>1.02</v>
      </c>
    </row>
    <row r="568" spans="1:7" outlineLevel="1" collapsed="1" x14ac:dyDescent="0.3">
      <c r="B568" s="1" t="s">
        <v>1009</v>
      </c>
      <c r="D568" t="str">
        <f>D567</f>
        <v>Male</v>
      </c>
      <c r="G568">
        <f>SUBTOTAL(9,G567:G567)</f>
        <v>1.02</v>
      </c>
    </row>
    <row r="569" spans="1:7" hidden="1" outlineLevel="2" x14ac:dyDescent="0.3">
      <c r="A569">
        <v>502</v>
      </c>
      <c r="B569" t="s">
        <v>595</v>
      </c>
      <c r="C569">
        <v>20</v>
      </c>
      <c r="D569" t="s">
        <v>8</v>
      </c>
      <c r="E569">
        <v>16</v>
      </c>
      <c r="F569" t="s">
        <v>354</v>
      </c>
      <c r="G569">
        <v>3.55</v>
      </c>
    </row>
    <row r="570" spans="1:7" hidden="1" outlineLevel="2" x14ac:dyDescent="0.3">
      <c r="A570">
        <v>556</v>
      </c>
      <c r="B570" t="s">
        <v>595</v>
      </c>
      <c r="C570">
        <v>20</v>
      </c>
      <c r="D570" t="s">
        <v>8</v>
      </c>
      <c r="E570">
        <v>64</v>
      </c>
      <c r="F570" t="s">
        <v>486</v>
      </c>
      <c r="G570">
        <v>4.82</v>
      </c>
    </row>
    <row r="571" spans="1:7" outlineLevel="1" collapsed="1" x14ac:dyDescent="0.3">
      <c r="B571" s="1" t="s">
        <v>1010</v>
      </c>
      <c r="D571" t="str">
        <f>D570</f>
        <v>Male</v>
      </c>
      <c r="G571">
        <f>SUBTOTAL(9,G569:G570)</f>
        <v>8.370000000000001</v>
      </c>
    </row>
    <row r="572" spans="1:7" hidden="1" outlineLevel="2" x14ac:dyDescent="0.3">
      <c r="A572">
        <v>610</v>
      </c>
      <c r="B572" t="s">
        <v>663</v>
      </c>
      <c r="C572">
        <v>7</v>
      </c>
      <c r="D572" t="s">
        <v>8</v>
      </c>
      <c r="E572">
        <v>159</v>
      </c>
      <c r="F572" t="s">
        <v>327</v>
      </c>
      <c r="G572">
        <v>3.08</v>
      </c>
    </row>
    <row r="573" spans="1:7" outlineLevel="1" collapsed="1" x14ac:dyDescent="0.3">
      <c r="B573" s="1" t="s">
        <v>1011</v>
      </c>
      <c r="D573" t="str">
        <f>D572</f>
        <v>Male</v>
      </c>
      <c r="G573">
        <f>SUBTOTAL(9,G572:G572)</f>
        <v>3.08</v>
      </c>
    </row>
    <row r="574" spans="1:7" hidden="1" outlineLevel="2" x14ac:dyDescent="0.3">
      <c r="A574">
        <v>430</v>
      </c>
      <c r="B574" t="s">
        <v>535</v>
      </c>
      <c r="C574">
        <v>15</v>
      </c>
      <c r="D574" t="s">
        <v>8</v>
      </c>
      <c r="E574">
        <v>164</v>
      </c>
      <c r="F574" t="s">
        <v>175</v>
      </c>
      <c r="G574">
        <v>1.63</v>
      </c>
    </row>
    <row r="575" spans="1:7" outlineLevel="1" collapsed="1" x14ac:dyDescent="0.3">
      <c r="B575" s="1" t="s">
        <v>1012</v>
      </c>
      <c r="D575" t="str">
        <f>D574</f>
        <v>Male</v>
      </c>
      <c r="G575">
        <f>SUBTOTAL(9,G574:G574)</f>
        <v>1.63</v>
      </c>
    </row>
    <row r="576" spans="1:7" hidden="1" outlineLevel="2" x14ac:dyDescent="0.3">
      <c r="A576">
        <v>345</v>
      </c>
      <c r="B576" t="s">
        <v>462</v>
      </c>
      <c r="C576">
        <v>19</v>
      </c>
      <c r="D576" t="s">
        <v>8</v>
      </c>
      <c r="E576">
        <v>2</v>
      </c>
      <c r="F576" t="s">
        <v>229</v>
      </c>
      <c r="G576">
        <v>2.48</v>
      </c>
    </row>
    <row r="577" spans="1:7" hidden="1" outlineLevel="2" x14ac:dyDescent="0.3">
      <c r="A577">
        <v>533</v>
      </c>
      <c r="B577" t="s">
        <v>462</v>
      </c>
      <c r="C577">
        <v>19</v>
      </c>
      <c r="D577" t="s">
        <v>8</v>
      </c>
      <c r="E577">
        <v>48</v>
      </c>
      <c r="F577" t="s">
        <v>563</v>
      </c>
      <c r="G577">
        <v>2.48</v>
      </c>
    </row>
    <row r="578" spans="1:7" hidden="1" outlineLevel="2" x14ac:dyDescent="0.3">
      <c r="A578">
        <v>628</v>
      </c>
      <c r="B578" t="s">
        <v>462</v>
      </c>
      <c r="C578">
        <v>19</v>
      </c>
      <c r="D578" t="s">
        <v>8</v>
      </c>
      <c r="E578">
        <v>167</v>
      </c>
      <c r="F578" t="s">
        <v>394</v>
      </c>
      <c r="G578">
        <v>3.61</v>
      </c>
    </row>
    <row r="579" spans="1:7" outlineLevel="1" collapsed="1" x14ac:dyDescent="0.3">
      <c r="B579" s="1" t="s">
        <v>1013</v>
      </c>
      <c r="D579" t="str">
        <f>D578</f>
        <v>Male</v>
      </c>
      <c r="G579">
        <f>SUBTOTAL(9,G576:G578)</f>
        <v>8.57</v>
      </c>
    </row>
    <row r="580" spans="1:7" hidden="1" outlineLevel="2" x14ac:dyDescent="0.3">
      <c r="A580">
        <v>378</v>
      </c>
      <c r="B580" t="s">
        <v>491</v>
      </c>
      <c r="C580">
        <v>23</v>
      </c>
      <c r="D580" t="s">
        <v>8</v>
      </c>
      <c r="E580">
        <v>96</v>
      </c>
      <c r="F580" t="s">
        <v>64</v>
      </c>
      <c r="G580">
        <v>3.09</v>
      </c>
    </row>
    <row r="581" spans="1:7" outlineLevel="1" collapsed="1" x14ac:dyDescent="0.3">
      <c r="B581" s="1" t="s">
        <v>1014</v>
      </c>
      <c r="D581" t="str">
        <f>D580</f>
        <v>Male</v>
      </c>
      <c r="G581">
        <f>SUBTOTAL(9,G580:G580)</f>
        <v>3.09</v>
      </c>
    </row>
    <row r="582" spans="1:7" hidden="1" outlineLevel="2" x14ac:dyDescent="0.3">
      <c r="A582">
        <v>227</v>
      </c>
      <c r="B582" t="s">
        <v>341</v>
      </c>
      <c r="C582">
        <v>18</v>
      </c>
      <c r="D582" t="s">
        <v>8</v>
      </c>
      <c r="E582">
        <v>24</v>
      </c>
      <c r="F582" t="s">
        <v>54</v>
      </c>
      <c r="G582">
        <v>3.81</v>
      </c>
    </row>
    <row r="583" spans="1:7" outlineLevel="1" collapsed="1" x14ac:dyDescent="0.3">
      <c r="B583" s="1" t="s">
        <v>1015</v>
      </c>
      <c r="D583" t="str">
        <f>D582</f>
        <v>Male</v>
      </c>
      <c r="G583">
        <f>SUBTOTAL(9,G582:G582)</f>
        <v>3.81</v>
      </c>
    </row>
    <row r="584" spans="1:7" hidden="1" outlineLevel="2" x14ac:dyDescent="0.3">
      <c r="A584">
        <v>259</v>
      </c>
      <c r="B584" t="s">
        <v>377</v>
      </c>
      <c r="C584">
        <v>20</v>
      </c>
      <c r="D584" t="s">
        <v>8</v>
      </c>
      <c r="E584">
        <v>72</v>
      </c>
      <c r="F584" t="s">
        <v>92</v>
      </c>
      <c r="G584">
        <v>3.77</v>
      </c>
    </row>
    <row r="585" spans="1:7" outlineLevel="1" collapsed="1" x14ac:dyDescent="0.3">
      <c r="B585" s="1" t="s">
        <v>1016</v>
      </c>
      <c r="D585" t="str">
        <f>D584</f>
        <v>Male</v>
      </c>
      <c r="G585">
        <f>SUBTOTAL(9,G584:G584)</f>
        <v>3.77</v>
      </c>
    </row>
    <row r="586" spans="1:7" hidden="1" outlineLevel="2" x14ac:dyDescent="0.3">
      <c r="A586">
        <v>45</v>
      </c>
      <c r="B586" t="s">
        <v>96</v>
      </c>
      <c r="C586">
        <v>23</v>
      </c>
      <c r="D586" t="s">
        <v>8</v>
      </c>
      <c r="E586">
        <v>181</v>
      </c>
      <c r="F586" t="s">
        <v>97</v>
      </c>
      <c r="G586">
        <v>1.66</v>
      </c>
    </row>
    <row r="587" spans="1:7" outlineLevel="1" collapsed="1" x14ac:dyDescent="0.3">
      <c r="B587" s="1" t="s">
        <v>1017</v>
      </c>
      <c r="D587" t="str">
        <f>D586</f>
        <v>Male</v>
      </c>
      <c r="G587">
        <f>SUBTOTAL(9,G586:G586)</f>
        <v>1.66</v>
      </c>
    </row>
    <row r="588" spans="1:7" hidden="1" outlineLevel="2" x14ac:dyDescent="0.3">
      <c r="A588">
        <v>643</v>
      </c>
      <c r="B588" t="s">
        <v>682</v>
      </c>
      <c r="C588">
        <v>21</v>
      </c>
      <c r="D588" t="s">
        <v>8</v>
      </c>
      <c r="E588">
        <v>93</v>
      </c>
      <c r="F588" t="s">
        <v>523</v>
      </c>
      <c r="G588">
        <v>1.97</v>
      </c>
    </row>
    <row r="589" spans="1:7" outlineLevel="1" collapsed="1" x14ac:dyDescent="0.3">
      <c r="B589" s="1" t="s">
        <v>1018</v>
      </c>
      <c r="D589" t="str">
        <f>D588</f>
        <v>Male</v>
      </c>
      <c r="G589">
        <f>SUBTOTAL(9,G588:G588)</f>
        <v>1.97</v>
      </c>
    </row>
    <row r="590" spans="1:7" hidden="1" outlineLevel="2" x14ac:dyDescent="0.3">
      <c r="A590">
        <v>147</v>
      </c>
      <c r="B590" t="s">
        <v>244</v>
      </c>
      <c r="C590">
        <v>35</v>
      </c>
      <c r="D590" t="s">
        <v>8</v>
      </c>
      <c r="E590">
        <v>24</v>
      </c>
      <c r="F590" t="s">
        <v>54</v>
      </c>
      <c r="G590">
        <v>3.81</v>
      </c>
    </row>
    <row r="591" spans="1:7" outlineLevel="1" collapsed="1" x14ac:dyDescent="0.3">
      <c r="B591" s="1" t="s">
        <v>1019</v>
      </c>
      <c r="D591" t="str">
        <f>D590</f>
        <v>Male</v>
      </c>
      <c r="G591">
        <f>SUBTOTAL(9,G590:G590)</f>
        <v>3.81</v>
      </c>
    </row>
    <row r="592" spans="1:7" hidden="1" outlineLevel="2" x14ac:dyDescent="0.3">
      <c r="A592">
        <v>33</v>
      </c>
      <c r="B592" t="s">
        <v>75</v>
      </c>
      <c r="C592">
        <v>7</v>
      </c>
      <c r="D592" t="s">
        <v>8</v>
      </c>
      <c r="E592">
        <v>44</v>
      </c>
      <c r="F592" t="s">
        <v>76</v>
      </c>
      <c r="G592">
        <v>2.38</v>
      </c>
    </row>
    <row r="593" spans="1:7" hidden="1" outlineLevel="2" x14ac:dyDescent="0.3">
      <c r="A593">
        <v>78</v>
      </c>
      <c r="B593" t="s">
        <v>75</v>
      </c>
      <c r="C593">
        <v>7</v>
      </c>
      <c r="D593" t="s">
        <v>8</v>
      </c>
      <c r="E593">
        <v>50</v>
      </c>
      <c r="F593" t="s">
        <v>151</v>
      </c>
      <c r="G593">
        <v>4.5999999999999996</v>
      </c>
    </row>
    <row r="594" spans="1:7" hidden="1" outlineLevel="2" x14ac:dyDescent="0.3">
      <c r="A594">
        <v>515</v>
      </c>
      <c r="B594" t="s">
        <v>75</v>
      </c>
      <c r="C594">
        <v>7</v>
      </c>
      <c r="D594" t="s">
        <v>8</v>
      </c>
      <c r="E594">
        <v>40</v>
      </c>
      <c r="F594" t="s">
        <v>42</v>
      </c>
      <c r="G594">
        <v>2.52</v>
      </c>
    </row>
    <row r="595" spans="1:7" outlineLevel="1" collapsed="1" x14ac:dyDescent="0.3">
      <c r="B595" s="1" t="s">
        <v>1020</v>
      </c>
      <c r="D595" t="str">
        <f>D594</f>
        <v>Male</v>
      </c>
      <c r="G595">
        <f>SUBTOTAL(9,G592:G594)</f>
        <v>9.5</v>
      </c>
    </row>
    <row r="596" spans="1:7" hidden="1" outlineLevel="2" x14ac:dyDescent="0.3">
      <c r="A596">
        <v>11</v>
      </c>
      <c r="B596" t="s">
        <v>31</v>
      </c>
      <c r="C596">
        <v>23</v>
      </c>
      <c r="D596" t="s">
        <v>8</v>
      </c>
      <c r="E596">
        <v>162</v>
      </c>
      <c r="F596" t="s">
        <v>23</v>
      </c>
      <c r="G596">
        <v>2.67</v>
      </c>
    </row>
    <row r="597" spans="1:7" hidden="1" outlineLevel="2" x14ac:dyDescent="0.3">
      <c r="A597">
        <v>99</v>
      </c>
      <c r="B597" t="s">
        <v>31</v>
      </c>
      <c r="C597">
        <v>23</v>
      </c>
      <c r="D597" t="s">
        <v>8</v>
      </c>
      <c r="E597">
        <v>101</v>
      </c>
      <c r="F597" t="s">
        <v>13</v>
      </c>
      <c r="G597">
        <v>4.1900000000000004</v>
      </c>
    </row>
    <row r="598" spans="1:7" outlineLevel="1" collapsed="1" x14ac:dyDescent="0.3">
      <c r="B598" s="1" t="s">
        <v>1021</v>
      </c>
      <c r="D598" t="str">
        <f>D597</f>
        <v>Male</v>
      </c>
      <c r="G598">
        <f>SUBTOTAL(9,G596:G597)</f>
        <v>6.86</v>
      </c>
    </row>
    <row r="599" spans="1:7" hidden="1" outlineLevel="2" x14ac:dyDescent="0.3">
      <c r="A599">
        <v>773</v>
      </c>
      <c r="B599" t="s">
        <v>760</v>
      </c>
      <c r="C599">
        <v>21</v>
      </c>
      <c r="D599" t="s">
        <v>8</v>
      </c>
      <c r="E599">
        <v>19</v>
      </c>
      <c r="F599" t="s">
        <v>358</v>
      </c>
      <c r="G599">
        <v>1.02</v>
      </c>
    </row>
    <row r="600" spans="1:7" outlineLevel="1" collapsed="1" x14ac:dyDescent="0.3">
      <c r="B600" s="1" t="s">
        <v>1022</v>
      </c>
      <c r="D600" t="str">
        <f>D599</f>
        <v>Male</v>
      </c>
      <c r="G600">
        <f>SUBTOTAL(9,G599:G599)</f>
        <v>1.02</v>
      </c>
    </row>
    <row r="601" spans="1:7" hidden="1" outlineLevel="2" x14ac:dyDescent="0.3">
      <c r="A601">
        <v>598</v>
      </c>
      <c r="B601" t="s">
        <v>657</v>
      </c>
      <c r="C601">
        <v>22</v>
      </c>
      <c r="D601" t="s">
        <v>8</v>
      </c>
      <c r="E601">
        <v>111</v>
      </c>
      <c r="F601" t="s">
        <v>256</v>
      </c>
      <c r="G601">
        <v>4.8899999999999997</v>
      </c>
    </row>
    <row r="602" spans="1:7" hidden="1" outlineLevel="2" x14ac:dyDescent="0.3">
      <c r="A602">
        <v>685</v>
      </c>
      <c r="B602" t="s">
        <v>657</v>
      </c>
      <c r="C602">
        <v>22</v>
      </c>
      <c r="D602" t="s">
        <v>8</v>
      </c>
      <c r="E602">
        <v>34</v>
      </c>
      <c r="F602" t="s">
        <v>132</v>
      </c>
      <c r="G602">
        <v>2.2200000000000002</v>
      </c>
    </row>
    <row r="603" spans="1:7" outlineLevel="1" collapsed="1" x14ac:dyDescent="0.3">
      <c r="B603" s="1" t="s">
        <v>1023</v>
      </c>
      <c r="D603" t="str">
        <f>D602</f>
        <v>Male</v>
      </c>
      <c r="G603">
        <f>SUBTOTAL(9,G601:G602)</f>
        <v>7.1099999999999994</v>
      </c>
    </row>
    <row r="604" spans="1:7" hidden="1" outlineLevel="2" x14ac:dyDescent="0.3">
      <c r="A604">
        <v>375</v>
      </c>
      <c r="B604" t="s">
        <v>488</v>
      </c>
      <c r="C604">
        <v>25</v>
      </c>
      <c r="D604" t="s">
        <v>8</v>
      </c>
      <c r="E604">
        <v>181</v>
      </c>
      <c r="F604" t="s">
        <v>97</v>
      </c>
      <c r="G604">
        <v>1.66</v>
      </c>
    </row>
    <row r="605" spans="1:7" outlineLevel="1" collapsed="1" x14ac:dyDescent="0.3">
      <c r="B605" s="1" t="s">
        <v>1024</v>
      </c>
      <c r="D605" t="str">
        <f>D604</f>
        <v>Male</v>
      </c>
      <c r="G605">
        <f>SUBTOTAL(9,G604:G604)</f>
        <v>1.66</v>
      </c>
    </row>
    <row r="606" spans="1:7" hidden="1" outlineLevel="2" x14ac:dyDescent="0.3">
      <c r="A606">
        <v>665</v>
      </c>
      <c r="B606" t="s">
        <v>697</v>
      </c>
      <c r="C606">
        <v>17</v>
      </c>
      <c r="D606" t="s">
        <v>8</v>
      </c>
      <c r="E606">
        <v>73</v>
      </c>
      <c r="F606" t="s">
        <v>84</v>
      </c>
      <c r="G606">
        <v>2.0499999999999998</v>
      </c>
    </row>
    <row r="607" spans="1:7" outlineLevel="1" collapsed="1" x14ac:dyDescent="0.3">
      <c r="B607" s="1" t="s">
        <v>1025</v>
      </c>
      <c r="D607" t="str">
        <f>D606</f>
        <v>Male</v>
      </c>
      <c r="G607">
        <f>SUBTOTAL(9,G606:G606)</f>
        <v>2.0499999999999998</v>
      </c>
    </row>
    <row r="608" spans="1:7" hidden="1" outlineLevel="2" x14ac:dyDescent="0.3">
      <c r="A608">
        <v>271</v>
      </c>
      <c r="B608" t="s">
        <v>387</v>
      </c>
      <c r="C608">
        <v>22</v>
      </c>
      <c r="D608" t="s">
        <v>8</v>
      </c>
      <c r="E608">
        <v>166</v>
      </c>
      <c r="F608" t="s">
        <v>388</v>
      </c>
      <c r="G608">
        <v>3.07</v>
      </c>
    </row>
    <row r="609" spans="1:7" outlineLevel="1" collapsed="1" x14ac:dyDescent="0.3">
      <c r="B609" s="1" t="s">
        <v>1026</v>
      </c>
      <c r="D609" t="str">
        <f>D608</f>
        <v>Male</v>
      </c>
      <c r="G609">
        <f>SUBTOTAL(9,G608:G608)</f>
        <v>3.07</v>
      </c>
    </row>
    <row r="610" spans="1:7" hidden="1" outlineLevel="2" x14ac:dyDescent="0.3">
      <c r="A610">
        <v>101</v>
      </c>
      <c r="B610" t="s">
        <v>181</v>
      </c>
      <c r="C610">
        <v>21</v>
      </c>
      <c r="D610" t="s">
        <v>8</v>
      </c>
      <c r="E610">
        <v>174</v>
      </c>
      <c r="F610" t="s">
        <v>155</v>
      </c>
      <c r="G610">
        <v>3.47</v>
      </c>
    </row>
    <row r="611" spans="1:7" outlineLevel="1" collapsed="1" x14ac:dyDescent="0.3">
      <c r="B611" s="1" t="s">
        <v>1027</v>
      </c>
      <c r="D611" t="str">
        <f>D610</f>
        <v>Male</v>
      </c>
      <c r="G611">
        <f>SUBTOTAL(9,G610:G610)</f>
        <v>3.47</v>
      </c>
    </row>
    <row r="612" spans="1:7" hidden="1" outlineLevel="2" x14ac:dyDescent="0.3">
      <c r="A612">
        <v>441</v>
      </c>
      <c r="B612" t="s">
        <v>544</v>
      </c>
      <c r="C612">
        <v>15</v>
      </c>
      <c r="D612" t="s">
        <v>8</v>
      </c>
      <c r="E612">
        <v>156</v>
      </c>
      <c r="F612" t="s">
        <v>407</v>
      </c>
      <c r="G612">
        <v>1.77</v>
      </c>
    </row>
    <row r="613" spans="1:7" hidden="1" outlineLevel="2" x14ac:dyDescent="0.3">
      <c r="A613">
        <v>552</v>
      </c>
      <c r="B613" t="s">
        <v>544</v>
      </c>
      <c r="C613">
        <v>15</v>
      </c>
      <c r="D613" t="s">
        <v>8</v>
      </c>
      <c r="E613">
        <v>155</v>
      </c>
      <c r="F613" t="s">
        <v>399</v>
      </c>
      <c r="G613">
        <v>1.01</v>
      </c>
    </row>
    <row r="614" spans="1:7" hidden="1" outlineLevel="2" x14ac:dyDescent="0.3">
      <c r="A614">
        <v>599</v>
      </c>
      <c r="B614" t="s">
        <v>544</v>
      </c>
      <c r="C614">
        <v>15</v>
      </c>
      <c r="D614" t="s">
        <v>8</v>
      </c>
      <c r="E614">
        <v>13</v>
      </c>
      <c r="F614" t="s">
        <v>204</v>
      </c>
      <c r="G614">
        <v>1.41</v>
      </c>
    </row>
    <row r="615" spans="1:7" outlineLevel="1" collapsed="1" x14ac:dyDescent="0.3">
      <c r="B615" s="1" t="s">
        <v>1028</v>
      </c>
      <c r="D615" t="str">
        <f>D614</f>
        <v>Male</v>
      </c>
      <c r="G615">
        <f>SUBTOTAL(9,G612:G614)</f>
        <v>4.1900000000000004</v>
      </c>
    </row>
    <row r="616" spans="1:7" hidden="1" outlineLevel="2" x14ac:dyDescent="0.3">
      <c r="A616">
        <v>393</v>
      </c>
      <c r="B616" t="s">
        <v>506</v>
      </c>
      <c r="C616">
        <v>20</v>
      </c>
      <c r="D616" t="s">
        <v>8</v>
      </c>
      <c r="E616">
        <v>54</v>
      </c>
      <c r="F616" t="s">
        <v>189</v>
      </c>
      <c r="G616">
        <v>2.5</v>
      </c>
    </row>
    <row r="617" spans="1:7" outlineLevel="1" collapsed="1" x14ac:dyDescent="0.3">
      <c r="B617" s="1" t="s">
        <v>1029</v>
      </c>
      <c r="D617" t="str">
        <f>D616</f>
        <v>Male</v>
      </c>
      <c r="G617">
        <f>SUBTOTAL(9,G616:G616)</f>
        <v>2.5</v>
      </c>
    </row>
    <row r="618" spans="1:7" hidden="1" outlineLevel="2" x14ac:dyDescent="0.3">
      <c r="A618">
        <v>189</v>
      </c>
      <c r="B618" t="s">
        <v>300</v>
      </c>
      <c r="C618">
        <v>23</v>
      </c>
      <c r="D618" t="s">
        <v>8</v>
      </c>
      <c r="E618">
        <v>63</v>
      </c>
      <c r="F618" t="s">
        <v>301</v>
      </c>
      <c r="G618">
        <v>4.99</v>
      </c>
    </row>
    <row r="619" spans="1:7" hidden="1" outlineLevel="2" x14ac:dyDescent="0.3">
      <c r="A619">
        <v>325</v>
      </c>
      <c r="B619" t="s">
        <v>300</v>
      </c>
      <c r="C619">
        <v>23</v>
      </c>
      <c r="D619" t="s">
        <v>8</v>
      </c>
      <c r="E619">
        <v>54</v>
      </c>
      <c r="F619" t="s">
        <v>189</v>
      </c>
      <c r="G619">
        <v>2.5</v>
      </c>
    </row>
    <row r="620" spans="1:7" outlineLevel="1" collapsed="1" x14ac:dyDescent="0.3">
      <c r="B620" s="1" t="s">
        <v>1030</v>
      </c>
      <c r="D620" t="str">
        <f>D619</f>
        <v>Male</v>
      </c>
      <c r="G620">
        <f>SUBTOTAL(9,G618:G619)</f>
        <v>7.49</v>
      </c>
    </row>
    <row r="621" spans="1:7" hidden="1" outlineLevel="2" x14ac:dyDescent="0.3">
      <c r="A621">
        <v>341</v>
      </c>
      <c r="B621" t="s">
        <v>458</v>
      </c>
      <c r="C621">
        <v>41</v>
      </c>
      <c r="D621" t="s">
        <v>8</v>
      </c>
      <c r="E621">
        <v>71</v>
      </c>
      <c r="F621" t="s">
        <v>62</v>
      </c>
      <c r="G621">
        <v>1.61</v>
      </c>
    </row>
    <row r="622" spans="1:7" outlineLevel="1" collapsed="1" x14ac:dyDescent="0.3">
      <c r="B622" s="1" t="s">
        <v>1031</v>
      </c>
      <c r="D622" t="str">
        <f>D621</f>
        <v>Male</v>
      </c>
      <c r="G622">
        <f>SUBTOTAL(9,G621:G621)</f>
        <v>1.61</v>
      </c>
    </row>
    <row r="623" spans="1:7" hidden="1" outlineLevel="2" x14ac:dyDescent="0.3">
      <c r="A623">
        <v>330</v>
      </c>
      <c r="B623" t="s">
        <v>445</v>
      </c>
      <c r="C623">
        <v>23</v>
      </c>
      <c r="D623" t="s">
        <v>8</v>
      </c>
      <c r="E623">
        <v>167</v>
      </c>
      <c r="F623" t="s">
        <v>394</v>
      </c>
      <c r="G623">
        <v>3.61</v>
      </c>
    </row>
    <row r="624" spans="1:7" outlineLevel="1" collapsed="1" x14ac:dyDescent="0.3">
      <c r="B624" s="1" t="s">
        <v>1032</v>
      </c>
      <c r="D624" t="str">
        <f>D623</f>
        <v>Male</v>
      </c>
      <c r="G624">
        <f>SUBTOTAL(9,G623:G623)</f>
        <v>3.61</v>
      </c>
    </row>
    <row r="625" spans="1:7" hidden="1" outlineLevel="2" x14ac:dyDescent="0.3">
      <c r="A625">
        <v>385</v>
      </c>
      <c r="B625" t="s">
        <v>498</v>
      </c>
      <c r="C625">
        <v>22</v>
      </c>
      <c r="D625" t="s">
        <v>8</v>
      </c>
      <c r="E625">
        <v>29</v>
      </c>
      <c r="F625" t="s">
        <v>140</v>
      </c>
      <c r="G625">
        <v>1.98</v>
      </c>
    </row>
    <row r="626" spans="1:7" outlineLevel="1" collapsed="1" x14ac:dyDescent="0.3">
      <c r="B626" s="1" t="s">
        <v>1033</v>
      </c>
      <c r="D626" t="str">
        <f>D625</f>
        <v>Male</v>
      </c>
      <c r="G626">
        <f>SUBTOTAL(9,G625:G625)</f>
        <v>1.98</v>
      </c>
    </row>
    <row r="627" spans="1:7" hidden="1" outlineLevel="2" x14ac:dyDescent="0.3">
      <c r="A627">
        <v>109</v>
      </c>
      <c r="B627" t="s">
        <v>194</v>
      </c>
      <c r="C627">
        <v>22</v>
      </c>
      <c r="D627" t="s">
        <v>8</v>
      </c>
      <c r="E627">
        <v>33</v>
      </c>
      <c r="F627" t="s">
        <v>161</v>
      </c>
      <c r="G627">
        <v>1.1599999999999999</v>
      </c>
    </row>
    <row r="628" spans="1:7" hidden="1" outlineLevel="2" x14ac:dyDescent="0.3">
      <c r="A628">
        <v>366</v>
      </c>
      <c r="B628" t="s">
        <v>194</v>
      </c>
      <c r="C628">
        <v>22</v>
      </c>
      <c r="D628" t="s">
        <v>8</v>
      </c>
      <c r="E628">
        <v>31</v>
      </c>
      <c r="F628" t="s">
        <v>482</v>
      </c>
      <c r="G628">
        <v>1.55</v>
      </c>
    </row>
    <row r="629" spans="1:7" outlineLevel="1" collapsed="1" x14ac:dyDescent="0.3">
      <c r="B629" s="1" t="s">
        <v>1034</v>
      </c>
      <c r="D629" t="str">
        <f>D628</f>
        <v>Male</v>
      </c>
      <c r="G629">
        <f>SUBTOTAL(9,G627:G628)</f>
        <v>2.71</v>
      </c>
    </row>
    <row r="630" spans="1:7" hidden="1" outlineLevel="2" x14ac:dyDescent="0.3">
      <c r="A630">
        <v>432</v>
      </c>
      <c r="B630" t="s">
        <v>536</v>
      </c>
      <c r="C630">
        <v>18</v>
      </c>
      <c r="D630" t="s">
        <v>8</v>
      </c>
      <c r="E630">
        <v>120</v>
      </c>
      <c r="F630" t="s">
        <v>225</v>
      </c>
      <c r="G630">
        <v>3.08</v>
      </c>
    </row>
    <row r="631" spans="1:7" outlineLevel="1" collapsed="1" x14ac:dyDescent="0.3">
      <c r="B631" s="1" t="s">
        <v>1035</v>
      </c>
      <c r="D631" t="str">
        <f>D630</f>
        <v>Male</v>
      </c>
      <c r="G631">
        <f>SUBTOTAL(9,G630:G630)</f>
        <v>3.08</v>
      </c>
    </row>
    <row r="632" spans="1:7" hidden="1" outlineLevel="2" x14ac:dyDescent="0.3">
      <c r="A632">
        <v>154</v>
      </c>
      <c r="B632" t="s">
        <v>252</v>
      </c>
      <c r="C632">
        <v>20</v>
      </c>
      <c r="D632" t="s">
        <v>8</v>
      </c>
      <c r="E632">
        <v>59</v>
      </c>
      <c r="F632" t="s">
        <v>169</v>
      </c>
      <c r="G632">
        <v>4.2300000000000004</v>
      </c>
    </row>
    <row r="633" spans="1:7" outlineLevel="1" collapsed="1" x14ac:dyDescent="0.3">
      <c r="B633" s="1" t="s">
        <v>1036</v>
      </c>
      <c r="D633" t="str">
        <f>D632</f>
        <v>Male</v>
      </c>
      <c r="G633">
        <f>SUBTOTAL(9,G632:G632)</f>
        <v>4.2300000000000004</v>
      </c>
    </row>
    <row r="634" spans="1:7" hidden="1" outlineLevel="2" x14ac:dyDescent="0.3">
      <c r="A634">
        <v>499</v>
      </c>
      <c r="B634" t="s">
        <v>592</v>
      </c>
      <c r="C634">
        <v>24</v>
      </c>
      <c r="D634" t="s">
        <v>8</v>
      </c>
      <c r="E634">
        <v>99</v>
      </c>
      <c r="F634" t="s">
        <v>191</v>
      </c>
      <c r="G634">
        <v>1.71</v>
      </c>
    </row>
    <row r="635" spans="1:7" outlineLevel="1" collapsed="1" x14ac:dyDescent="0.3">
      <c r="B635" s="1" t="s">
        <v>1037</v>
      </c>
      <c r="D635" t="str">
        <f>D634</f>
        <v>Male</v>
      </c>
      <c r="G635">
        <f>SUBTOTAL(9,G634:G634)</f>
        <v>1.71</v>
      </c>
    </row>
    <row r="636" spans="1:7" hidden="1" outlineLevel="2" x14ac:dyDescent="0.3">
      <c r="A636">
        <v>314</v>
      </c>
      <c r="B636" t="s">
        <v>432</v>
      </c>
      <c r="C636">
        <v>24</v>
      </c>
      <c r="D636" t="s">
        <v>8</v>
      </c>
      <c r="E636">
        <v>37</v>
      </c>
      <c r="F636" t="s">
        <v>68</v>
      </c>
      <c r="G636">
        <v>3.16</v>
      </c>
    </row>
    <row r="637" spans="1:7" outlineLevel="1" collapsed="1" x14ac:dyDescent="0.3">
      <c r="B637" s="1" t="s">
        <v>1038</v>
      </c>
      <c r="D637" t="str">
        <f>D636</f>
        <v>Male</v>
      </c>
      <c r="G637">
        <f>SUBTOTAL(9,G636:G636)</f>
        <v>3.16</v>
      </c>
    </row>
    <row r="638" spans="1:7" hidden="1" outlineLevel="2" x14ac:dyDescent="0.3">
      <c r="A638">
        <v>534</v>
      </c>
      <c r="B638" t="s">
        <v>616</v>
      </c>
      <c r="C638">
        <v>10</v>
      </c>
      <c r="D638" t="s">
        <v>8</v>
      </c>
      <c r="E638">
        <v>146</v>
      </c>
      <c r="F638" t="s">
        <v>231</v>
      </c>
      <c r="G638">
        <v>3.1</v>
      </c>
    </row>
    <row r="639" spans="1:7" outlineLevel="1" collapsed="1" x14ac:dyDescent="0.3">
      <c r="B639" s="1" t="s">
        <v>1039</v>
      </c>
      <c r="D639" t="str">
        <f>D638</f>
        <v>Male</v>
      </c>
      <c r="G639">
        <f>SUBTOTAL(9,G638:G638)</f>
        <v>3.1</v>
      </c>
    </row>
    <row r="640" spans="1:7" hidden="1" outlineLevel="2" x14ac:dyDescent="0.3">
      <c r="A640">
        <v>443</v>
      </c>
      <c r="B640" t="s">
        <v>545</v>
      </c>
      <c r="C640">
        <v>26</v>
      </c>
      <c r="D640" t="s">
        <v>8</v>
      </c>
      <c r="E640">
        <v>149</v>
      </c>
      <c r="F640" t="s">
        <v>320</v>
      </c>
      <c r="G640">
        <v>1.75</v>
      </c>
    </row>
    <row r="641" spans="1:7" outlineLevel="1" collapsed="1" x14ac:dyDescent="0.3">
      <c r="B641" s="1" t="s">
        <v>1040</v>
      </c>
      <c r="D641" t="str">
        <f>D640</f>
        <v>Male</v>
      </c>
      <c r="G641">
        <f>SUBTOTAL(9,G640:G640)</f>
        <v>1.75</v>
      </c>
    </row>
    <row r="642" spans="1:7" hidden="1" outlineLevel="2" x14ac:dyDescent="0.3">
      <c r="A642">
        <v>49</v>
      </c>
      <c r="B642" t="s">
        <v>104</v>
      </c>
      <c r="C642">
        <v>33</v>
      </c>
      <c r="D642" t="s">
        <v>8</v>
      </c>
      <c r="E642">
        <v>110</v>
      </c>
      <c r="F642" t="s">
        <v>105</v>
      </c>
      <c r="G642">
        <v>1.44</v>
      </c>
    </row>
    <row r="643" spans="1:7" hidden="1" outlineLevel="2" x14ac:dyDescent="0.3">
      <c r="A643">
        <v>419</v>
      </c>
      <c r="B643" t="s">
        <v>104</v>
      </c>
      <c r="C643">
        <v>33</v>
      </c>
      <c r="D643" t="s">
        <v>8</v>
      </c>
      <c r="E643">
        <v>171</v>
      </c>
      <c r="F643" t="s">
        <v>413</v>
      </c>
      <c r="G643">
        <v>1.79</v>
      </c>
    </row>
    <row r="644" spans="1:7" outlineLevel="1" collapsed="1" x14ac:dyDescent="0.3">
      <c r="B644" s="1" t="s">
        <v>1041</v>
      </c>
      <c r="D644" t="str">
        <f>D643</f>
        <v>Male</v>
      </c>
      <c r="G644">
        <f>SUBTOTAL(9,G642:G643)</f>
        <v>3.23</v>
      </c>
    </row>
    <row r="645" spans="1:7" hidden="1" outlineLevel="2" x14ac:dyDescent="0.3">
      <c r="A645">
        <v>214</v>
      </c>
      <c r="B645" t="s">
        <v>329</v>
      </c>
      <c r="C645">
        <v>23</v>
      </c>
      <c r="D645" t="s">
        <v>8</v>
      </c>
      <c r="E645">
        <v>137</v>
      </c>
      <c r="F645" t="s">
        <v>330</v>
      </c>
      <c r="G645">
        <v>3.39</v>
      </c>
    </row>
    <row r="646" spans="1:7" hidden="1" outlineLevel="2" x14ac:dyDescent="0.3">
      <c r="A646">
        <v>503</v>
      </c>
      <c r="B646" t="s">
        <v>329</v>
      </c>
      <c r="C646">
        <v>23</v>
      </c>
      <c r="D646" t="s">
        <v>8</v>
      </c>
      <c r="E646">
        <v>59</v>
      </c>
      <c r="F646" t="s">
        <v>169</v>
      </c>
      <c r="G646">
        <v>4.2300000000000004</v>
      </c>
    </row>
    <row r="647" spans="1:7" outlineLevel="1" collapsed="1" x14ac:dyDescent="0.3">
      <c r="B647" s="1" t="s">
        <v>1042</v>
      </c>
      <c r="D647" t="str">
        <f>D646</f>
        <v>Male</v>
      </c>
      <c r="G647">
        <f>SUBTOTAL(9,G645:G646)</f>
        <v>7.620000000000001</v>
      </c>
    </row>
    <row r="648" spans="1:7" hidden="1" outlineLevel="2" x14ac:dyDescent="0.3">
      <c r="A648">
        <v>424</v>
      </c>
      <c r="B648" t="s">
        <v>530</v>
      </c>
      <c r="C648">
        <v>10</v>
      </c>
      <c r="D648" t="s">
        <v>8</v>
      </c>
      <c r="E648">
        <v>149</v>
      </c>
      <c r="F648" t="s">
        <v>320</v>
      </c>
      <c r="G648">
        <v>1.75</v>
      </c>
    </row>
    <row r="649" spans="1:7" hidden="1" outlineLevel="2" x14ac:dyDescent="0.3">
      <c r="A649">
        <v>679</v>
      </c>
      <c r="B649" t="s">
        <v>530</v>
      </c>
      <c r="C649">
        <v>10</v>
      </c>
      <c r="D649" t="s">
        <v>8</v>
      </c>
      <c r="E649">
        <v>153</v>
      </c>
      <c r="F649" t="s">
        <v>312</v>
      </c>
      <c r="G649">
        <v>3.74</v>
      </c>
    </row>
    <row r="650" spans="1:7" outlineLevel="1" collapsed="1" x14ac:dyDescent="0.3">
      <c r="B650" s="1" t="s">
        <v>1043</v>
      </c>
      <c r="D650" t="str">
        <f>D649</f>
        <v>Male</v>
      </c>
      <c r="G650">
        <f>SUBTOTAL(9,G648:G649)</f>
        <v>5.49</v>
      </c>
    </row>
    <row r="651" spans="1:7" hidden="1" outlineLevel="2" x14ac:dyDescent="0.3">
      <c r="A651">
        <v>313</v>
      </c>
      <c r="B651" t="s">
        <v>431</v>
      </c>
      <c r="C651">
        <v>23</v>
      </c>
      <c r="D651" t="s">
        <v>8</v>
      </c>
      <c r="E651">
        <v>182</v>
      </c>
      <c r="F651" t="s">
        <v>374</v>
      </c>
      <c r="G651">
        <v>4.03</v>
      </c>
    </row>
    <row r="652" spans="1:7" hidden="1" outlineLevel="2" x14ac:dyDescent="0.3">
      <c r="A652">
        <v>559</v>
      </c>
      <c r="B652" t="s">
        <v>431</v>
      </c>
      <c r="C652">
        <v>23</v>
      </c>
      <c r="D652" t="s">
        <v>8</v>
      </c>
      <c r="E652">
        <v>34</v>
      </c>
      <c r="F652" t="s">
        <v>132</v>
      </c>
      <c r="G652">
        <v>2.2200000000000002</v>
      </c>
    </row>
    <row r="653" spans="1:7" outlineLevel="1" collapsed="1" x14ac:dyDescent="0.3">
      <c r="B653" s="1" t="s">
        <v>1044</v>
      </c>
      <c r="D653" t="str">
        <f>D652</f>
        <v>Male</v>
      </c>
      <c r="G653">
        <f>SUBTOTAL(9,G651:G652)</f>
        <v>6.25</v>
      </c>
    </row>
    <row r="654" spans="1:7" hidden="1" outlineLevel="2" x14ac:dyDescent="0.3">
      <c r="A654">
        <v>251</v>
      </c>
      <c r="B654" t="s">
        <v>369</v>
      </c>
      <c r="C654">
        <v>22</v>
      </c>
      <c r="D654" t="s">
        <v>8</v>
      </c>
      <c r="E654">
        <v>23</v>
      </c>
      <c r="F654" t="s">
        <v>212</v>
      </c>
      <c r="G654">
        <v>1.99</v>
      </c>
    </row>
    <row r="655" spans="1:7" hidden="1" outlineLevel="2" x14ac:dyDescent="0.3">
      <c r="A655">
        <v>713</v>
      </c>
      <c r="B655" t="s">
        <v>369</v>
      </c>
      <c r="C655">
        <v>22</v>
      </c>
      <c r="D655" t="s">
        <v>8</v>
      </c>
      <c r="E655">
        <v>46</v>
      </c>
      <c r="F655" t="s">
        <v>243</v>
      </c>
      <c r="G655">
        <v>1.33</v>
      </c>
    </row>
    <row r="656" spans="1:7" outlineLevel="1" collapsed="1" x14ac:dyDescent="0.3">
      <c r="B656" s="1" t="s">
        <v>1045</v>
      </c>
      <c r="D656" t="str">
        <f>D655</f>
        <v>Male</v>
      </c>
      <c r="G656">
        <f>SUBTOTAL(9,G654:G655)</f>
        <v>3.3200000000000003</v>
      </c>
    </row>
    <row r="657" spans="1:7" hidden="1" outlineLevel="2" x14ac:dyDescent="0.3">
      <c r="A657">
        <v>591</v>
      </c>
      <c r="B657" t="s">
        <v>653</v>
      </c>
      <c r="C657">
        <v>20</v>
      </c>
      <c r="D657" t="s">
        <v>8</v>
      </c>
      <c r="E657">
        <v>113</v>
      </c>
      <c r="F657" t="s">
        <v>309</v>
      </c>
      <c r="G657">
        <v>4.07</v>
      </c>
    </row>
    <row r="658" spans="1:7" outlineLevel="1" collapsed="1" x14ac:dyDescent="0.3">
      <c r="B658" s="1" t="s">
        <v>1046</v>
      </c>
      <c r="D658" t="str">
        <f>D657</f>
        <v>Male</v>
      </c>
      <c r="G658">
        <f>SUBTOTAL(9,G657:G657)</f>
        <v>4.07</v>
      </c>
    </row>
    <row r="659" spans="1:7" hidden="1" outlineLevel="2" x14ac:dyDescent="0.3">
      <c r="A659">
        <v>304</v>
      </c>
      <c r="B659" t="s">
        <v>423</v>
      </c>
      <c r="C659">
        <v>24</v>
      </c>
      <c r="D659" t="s">
        <v>8</v>
      </c>
      <c r="E659">
        <v>181</v>
      </c>
      <c r="F659" t="s">
        <v>97</v>
      </c>
      <c r="G659">
        <v>1.66</v>
      </c>
    </row>
    <row r="660" spans="1:7" outlineLevel="1" collapsed="1" x14ac:dyDescent="0.3">
      <c r="B660" s="1" t="s">
        <v>1047</v>
      </c>
      <c r="D660" t="str">
        <f>D659</f>
        <v>Male</v>
      </c>
      <c r="G660">
        <f>SUBTOTAL(9,G659:G659)</f>
        <v>1.66</v>
      </c>
    </row>
    <row r="661" spans="1:7" hidden="1" outlineLevel="2" x14ac:dyDescent="0.3">
      <c r="A661">
        <v>590</v>
      </c>
      <c r="B661" t="s">
        <v>652</v>
      </c>
      <c r="C661">
        <v>20</v>
      </c>
      <c r="D661" t="s">
        <v>8</v>
      </c>
      <c r="E661">
        <v>141</v>
      </c>
      <c r="F661" t="s">
        <v>58</v>
      </c>
      <c r="G661">
        <v>3.19</v>
      </c>
    </row>
    <row r="662" spans="1:7" outlineLevel="1" collapsed="1" x14ac:dyDescent="0.3">
      <c r="B662" s="1" t="s">
        <v>1048</v>
      </c>
      <c r="D662" t="str">
        <f>D661</f>
        <v>Male</v>
      </c>
      <c r="G662">
        <f>SUBTOTAL(9,G661:G661)</f>
        <v>3.19</v>
      </c>
    </row>
    <row r="663" spans="1:7" hidden="1" outlineLevel="2" x14ac:dyDescent="0.3">
      <c r="A663">
        <v>20</v>
      </c>
      <c r="B663" t="s">
        <v>49</v>
      </c>
      <c r="C663">
        <v>20</v>
      </c>
      <c r="D663" t="s">
        <v>8</v>
      </c>
      <c r="E663">
        <v>57</v>
      </c>
      <c r="F663" t="s">
        <v>50</v>
      </c>
      <c r="G663">
        <v>4.5999999999999996</v>
      </c>
    </row>
    <row r="664" spans="1:7" outlineLevel="1" collapsed="1" x14ac:dyDescent="0.3">
      <c r="B664" s="1" t="s">
        <v>1049</v>
      </c>
      <c r="D664" t="str">
        <f>D663</f>
        <v>Male</v>
      </c>
      <c r="G664">
        <f>SUBTOTAL(9,G663:G663)</f>
        <v>4.5999999999999996</v>
      </c>
    </row>
    <row r="665" spans="1:7" hidden="1" outlineLevel="2" x14ac:dyDescent="0.3">
      <c r="A665">
        <v>673</v>
      </c>
      <c r="B665" t="s">
        <v>703</v>
      </c>
      <c r="C665">
        <v>30</v>
      </c>
      <c r="D665" t="s">
        <v>8</v>
      </c>
      <c r="E665">
        <v>130</v>
      </c>
      <c r="F665" t="s">
        <v>704</v>
      </c>
      <c r="G665">
        <v>2.0699999999999998</v>
      </c>
    </row>
    <row r="666" spans="1:7" outlineLevel="1" collapsed="1" x14ac:dyDescent="0.3">
      <c r="B666" s="1" t="s">
        <v>1050</v>
      </c>
      <c r="D666" t="str">
        <f>D665</f>
        <v>Male</v>
      </c>
      <c r="G666">
        <f>SUBTOTAL(9,G665:G665)</f>
        <v>2.0699999999999998</v>
      </c>
    </row>
    <row r="667" spans="1:7" hidden="1" outlineLevel="2" x14ac:dyDescent="0.3">
      <c r="A667">
        <v>30</v>
      </c>
      <c r="B667" t="s">
        <v>69</v>
      </c>
      <c r="C667">
        <v>19</v>
      </c>
      <c r="D667" t="s">
        <v>8</v>
      </c>
      <c r="E667">
        <v>140</v>
      </c>
      <c r="F667" t="s">
        <v>70</v>
      </c>
      <c r="G667">
        <v>2.94</v>
      </c>
    </row>
    <row r="668" spans="1:7" hidden="1" outlineLevel="2" x14ac:dyDescent="0.3">
      <c r="A668">
        <v>370</v>
      </c>
      <c r="B668" t="s">
        <v>69</v>
      </c>
      <c r="C668">
        <v>19</v>
      </c>
      <c r="D668" t="s">
        <v>8</v>
      </c>
      <c r="E668">
        <v>45</v>
      </c>
      <c r="F668" t="s">
        <v>453</v>
      </c>
      <c r="G668">
        <v>3.85</v>
      </c>
    </row>
    <row r="669" spans="1:7" hidden="1" outlineLevel="2" x14ac:dyDescent="0.3">
      <c r="A669">
        <v>407</v>
      </c>
      <c r="B669" t="s">
        <v>69</v>
      </c>
      <c r="C669">
        <v>19</v>
      </c>
      <c r="D669" t="s">
        <v>8</v>
      </c>
      <c r="E669">
        <v>131</v>
      </c>
      <c r="F669" t="s">
        <v>17</v>
      </c>
      <c r="G669">
        <v>1.44</v>
      </c>
    </row>
    <row r="670" spans="1:7" outlineLevel="1" collapsed="1" x14ac:dyDescent="0.3">
      <c r="B670" s="1" t="s">
        <v>1051</v>
      </c>
      <c r="D670" t="str">
        <f>D669</f>
        <v>Male</v>
      </c>
      <c r="G670">
        <f>SUBTOTAL(9,G667:G669)</f>
        <v>8.23</v>
      </c>
    </row>
    <row r="671" spans="1:7" hidden="1" outlineLevel="2" x14ac:dyDescent="0.3">
      <c r="A671">
        <v>406</v>
      </c>
      <c r="B671" t="s">
        <v>517</v>
      </c>
      <c r="C671">
        <v>15</v>
      </c>
      <c r="D671" t="s">
        <v>8</v>
      </c>
      <c r="E671">
        <v>100</v>
      </c>
      <c r="F671" t="s">
        <v>15</v>
      </c>
      <c r="G671">
        <v>3.27</v>
      </c>
    </row>
    <row r="672" spans="1:7" hidden="1" outlineLevel="2" x14ac:dyDescent="0.3">
      <c r="A672">
        <v>690</v>
      </c>
      <c r="B672" t="s">
        <v>517</v>
      </c>
      <c r="C672">
        <v>15</v>
      </c>
      <c r="D672" t="s">
        <v>8</v>
      </c>
      <c r="E672">
        <v>68</v>
      </c>
      <c r="F672" t="s">
        <v>143</v>
      </c>
      <c r="G672">
        <v>4.32</v>
      </c>
    </row>
    <row r="673" spans="1:7" outlineLevel="1" collapsed="1" x14ac:dyDescent="0.3">
      <c r="B673" s="1" t="s">
        <v>1052</v>
      </c>
      <c r="D673" t="str">
        <f>D672</f>
        <v>Male</v>
      </c>
      <c r="G673">
        <f>SUBTOTAL(9,G671:G672)</f>
        <v>7.59</v>
      </c>
    </row>
    <row r="674" spans="1:7" hidden="1" outlineLevel="2" x14ac:dyDescent="0.3">
      <c r="A674">
        <v>36</v>
      </c>
      <c r="B674" t="s">
        <v>81</v>
      </c>
      <c r="C674">
        <v>30</v>
      </c>
      <c r="D674" t="s">
        <v>8</v>
      </c>
      <c r="E674">
        <v>76</v>
      </c>
      <c r="F674" t="s">
        <v>82</v>
      </c>
      <c r="G674">
        <v>3.15</v>
      </c>
    </row>
    <row r="675" spans="1:7" outlineLevel="1" collapsed="1" x14ac:dyDescent="0.3">
      <c r="B675" s="1" t="s">
        <v>1053</v>
      </c>
      <c r="D675" t="str">
        <f>D674</f>
        <v>Male</v>
      </c>
      <c r="G675">
        <f>SUBTOTAL(9,G674:G674)</f>
        <v>3.15</v>
      </c>
    </row>
    <row r="676" spans="1:7" hidden="1" outlineLevel="2" x14ac:dyDescent="0.3">
      <c r="A676">
        <v>290</v>
      </c>
      <c r="B676" t="s">
        <v>409</v>
      </c>
      <c r="C676">
        <v>24</v>
      </c>
      <c r="D676" t="s">
        <v>8</v>
      </c>
      <c r="E676">
        <v>147</v>
      </c>
      <c r="F676" t="s">
        <v>410</v>
      </c>
      <c r="G676">
        <v>4.93</v>
      </c>
    </row>
    <row r="677" spans="1:7" hidden="1" outlineLevel="2" x14ac:dyDescent="0.3">
      <c r="A677">
        <v>490</v>
      </c>
      <c r="B677" t="s">
        <v>409</v>
      </c>
      <c r="C677">
        <v>24</v>
      </c>
      <c r="D677" t="s">
        <v>8</v>
      </c>
      <c r="E677">
        <v>148</v>
      </c>
      <c r="F677" t="s">
        <v>246</v>
      </c>
      <c r="G677">
        <v>4.03</v>
      </c>
    </row>
    <row r="678" spans="1:7" hidden="1" outlineLevel="2" x14ac:dyDescent="0.3">
      <c r="A678">
        <v>543</v>
      </c>
      <c r="B678" t="s">
        <v>409</v>
      </c>
      <c r="C678">
        <v>24</v>
      </c>
      <c r="D678" t="s">
        <v>8</v>
      </c>
      <c r="E678">
        <v>121</v>
      </c>
      <c r="F678" t="s">
        <v>463</v>
      </c>
      <c r="G678">
        <v>1.6</v>
      </c>
    </row>
    <row r="679" spans="1:7" hidden="1" outlineLevel="2" x14ac:dyDescent="0.3">
      <c r="A679">
        <v>676</v>
      </c>
      <c r="B679" t="s">
        <v>409</v>
      </c>
      <c r="C679">
        <v>24</v>
      </c>
      <c r="D679" t="s">
        <v>8</v>
      </c>
      <c r="E679">
        <v>111</v>
      </c>
      <c r="F679" t="s">
        <v>256</v>
      </c>
      <c r="G679">
        <v>4.8899999999999997</v>
      </c>
    </row>
    <row r="680" spans="1:7" outlineLevel="1" collapsed="1" x14ac:dyDescent="0.3">
      <c r="B680" s="1" t="s">
        <v>1054</v>
      </c>
      <c r="D680" t="str">
        <f>D679</f>
        <v>Male</v>
      </c>
      <c r="G680">
        <f>SUBTOTAL(9,G676:G679)</f>
        <v>15.45</v>
      </c>
    </row>
    <row r="681" spans="1:7" hidden="1" outlineLevel="2" x14ac:dyDescent="0.3">
      <c r="A681">
        <v>726</v>
      </c>
      <c r="B681" t="s">
        <v>733</v>
      </c>
      <c r="C681">
        <v>23</v>
      </c>
      <c r="D681" t="s">
        <v>8</v>
      </c>
      <c r="E681">
        <v>21</v>
      </c>
      <c r="F681" t="s">
        <v>25</v>
      </c>
      <c r="G681">
        <v>1.1000000000000001</v>
      </c>
    </row>
    <row r="682" spans="1:7" outlineLevel="1" collapsed="1" x14ac:dyDescent="0.3">
      <c r="B682" s="1" t="s">
        <v>1055</v>
      </c>
      <c r="D682" t="str">
        <f>D681</f>
        <v>Male</v>
      </c>
      <c r="G682">
        <f>SUBTOTAL(9,G681:G681)</f>
        <v>1.1000000000000001</v>
      </c>
    </row>
    <row r="683" spans="1:7" hidden="1" outlineLevel="2" x14ac:dyDescent="0.3">
      <c r="A683">
        <v>513</v>
      </c>
      <c r="B683" t="s">
        <v>601</v>
      </c>
      <c r="C683">
        <v>25</v>
      </c>
      <c r="D683" t="s">
        <v>8</v>
      </c>
      <c r="E683">
        <v>25</v>
      </c>
      <c r="F683" t="s">
        <v>114</v>
      </c>
      <c r="G683">
        <v>4.3499999999999996</v>
      </c>
    </row>
    <row r="684" spans="1:7" outlineLevel="1" collapsed="1" x14ac:dyDescent="0.3">
      <c r="B684" s="1" t="s">
        <v>1056</v>
      </c>
      <c r="D684" t="str">
        <f>D683</f>
        <v>Male</v>
      </c>
      <c r="G684">
        <f>SUBTOTAL(9,G683:G683)</f>
        <v>4.3499999999999996</v>
      </c>
    </row>
    <row r="685" spans="1:7" hidden="1" outlineLevel="2" x14ac:dyDescent="0.3">
      <c r="A685">
        <v>352</v>
      </c>
      <c r="B685" t="s">
        <v>466</v>
      </c>
      <c r="C685">
        <v>22</v>
      </c>
      <c r="D685" t="s">
        <v>8</v>
      </c>
      <c r="E685">
        <v>79</v>
      </c>
      <c r="F685" t="s">
        <v>467</v>
      </c>
      <c r="G685">
        <v>4.05</v>
      </c>
    </row>
    <row r="686" spans="1:7" hidden="1" outlineLevel="2" x14ac:dyDescent="0.3">
      <c r="A686">
        <v>400</v>
      </c>
      <c r="B686" t="s">
        <v>466</v>
      </c>
      <c r="C686">
        <v>22</v>
      </c>
      <c r="D686" t="s">
        <v>8</v>
      </c>
      <c r="E686">
        <v>72</v>
      </c>
      <c r="F686" t="s">
        <v>92</v>
      </c>
      <c r="G686">
        <v>3.77</v>
      </c>
    </row>
    <row r="687" spans="1:7" hidden="1" outlineLevel="2" x14ac:dyDescent="0.3">
      <c r="A687">
        <v>722</v>
      </c>
      <c r="B687" t="s">
        <v>466</v>
      </c>
      <c r="C687">
        <v>22</v>
      </c>
      <c r="D687" t="s">
        <v>8</v>
      </c>
      <c r="E687">
        <v>92</v>
      </c>
      <c r="F687" t="s">
        <v>13</v>
      </c>
      <c r="G687">
        <v>4.88</v>
      </c>
    </row>
    <row r="688" spans="1:7" outlineLevel="1" collapsed="1" x14ac:dyDescent="0.3">
      <c r="B688" s="1" t="s">
        <v>1057</v>
      </c>
      <c r="D688" t="str">
        <f>D687</f>
        <v>Male</v>
      </c>
      <c r="G688">
        <f>SUBTOTAL(9,G685:G687)</f>
        <v>12.7</v>
      </c>
    </row>
    <row r="689" spans="1:7" hidden="1" outlineLevel="2" x14ac:dyDescent="0.3">
      <c r="A689">
        <v>576</v>
      </c>
      <c r="B689" t="s">
        <v>642</v>
      </c>
      <c r="C689">
        <v>20</v>
      </c>
      <c r="D689" t="s">
        <v>8</v>
      </c>
      <c r="E689">
        <v>34</v>
      </c>
      <c r="F689" t="s">
        <v>132</v>
      </c>
      <c r="G689">
        <v>2.2200000000000002</v>
      </c>
    </row>
    <row r="690" spans="1:7" outlineLevel="1" collapsed="1" x14ac:dyDescent="0.3">
      <c r="B690" s="1" t="s">
        <v>1058</v>
      </c>
      <c r="D690" t="str">
        <f>D689</f>
        <v>Male</v>
      </c>
      <c r="G690">
        <f>SUBTOTAL(9,G689:G689)</f>
        <v>2.2200000000000002</v>
      </c>
    </row>
    <row r="691" spans="1:7" hidden="1" outlineLevel="2" x14ac:dyDescent="0.3">
      <c r="A691">
        <v>95</v>
      </c>
      <c r="B691" t="s">
        <v>174</v>
      </c>
      <c r="C691">
        <v>18</v>
      </c>
      <c r="D691" t="s">
        <v>8</v>
      </c>
      <c r="E691">
        <v>164</v>
      </c>
      <c r="F691" t="s">
        <v>175</v>
      </c>
      <c r="G691">
        <v>1.63</v>
      </c>
    </row>
    <row r="692" spans="1:7" outlineLevel="1" collapsed="1" x14ac:dyDescent="0.3">
      <c r="B692" s="1" t="s">
        <v>1059</v>
      </c>
      <c r="D692" t="str">
        <f>D691</f>
        <v>Male</v>
      </c>
      <c r="G692">
        <f>SUBTOTAL(9,G691:G691)</f>
        <v>1.63</v>
      </c>
    </row>
    <row r="693" spans="1:7" hidden="1" outlineLevel="2" x14ac:dyDescent="0.3">
      <c r="A693">
        <v>756</v>
      </c>
      <c r="B693" t="s">
        <v>754</v>
      </c>
      <c r="C693">
        <v>20</v>
      </c>
      <c r="D693" t="s">
        <v>8</v>
      </c>
      <c r="E693">
        <v>73</v>
      </c>
      <c r="F693" t="s">
        <v>84</v>
      </c>
      <c r="G693">
        <v>2.0499999999999998</v>
      </c>
    </row>
    <row r="694" spans="1:7" outlineLevel="1" collapsed="1" x14ac:dyDescent="0.3">
      <c r="B694" s="1" t="s">
        <v>1060</v>
      </c>
      <c r="D694" t="str">
        <f>D693</f>
        <v>Male</v>
      </c>
      <c r="G694">
        <f>SUBTOTAL(9,G693:G693)</f>
        <v>2.0499999999999998</v>
      </c>
    </row>
    <row r="695" spans="1:7" hidden="1" outlineLevel="2" x14ac:dyDescent="0.3">
      <c r="A695">
        <v>601</v>
      </c>
      <c r="B695" t="s">
        <v>659</v>
      </c>
      <c r="C695">
        <v>11</v>
      </c>
      <c r="D695" t="s">
        <v>8</v>
      </c>
      <c r="E695">
        <v>93</v>
      </c>
      <c r="F695" t="s">
        <v>523</v>
      </c>
      <c r="G695">
        <v>1.97</v>
      </c>
    </row>
    <row r="696" spans="1:7" outlineLevel="1" collapsed="1" x14ac:dyDescent="0.3">
      <c r="B696" s="1" t="s">
        <v>1061</v>
      </c>
      <c r="D696" t="str">
        <f>D695</f>
        <v>Male</v>
      </c>
      <c r="G696">
        <f>SUBTOTAL(9,G695:G695)</f>
        <v>1.97</v>
      </c>
    </row>
    <row r="697" spans="1:7" hidden="1" outlineLevel="2" x14ac:dyDescent="0.3">
      <c r="A697">
        <v>144</v>
      </c>
      <c r="B697" t="s">
        <v>241</v>
      </c>
      <c r="C697">
        <v>18</v>
      </c>
      <c r="D697" t="s">
        <v>8</v>
      </c>
      <c r="E697">
        <v>22</v>
      </c>
      <c r="F697" t="s">
        <v>106</v>
      </c>
      <c r="G697">
        <v>2.1800000000000002</v>
      </c>
    </row>
    <row r="698" spans="1:7" outlineLevel="1" collapsed="1" x14ac:dyDescent="0.3">
      <c r="B698" s="1" t="s">
        <v>1062</v>
      </c>
      <c r="D698" t="str">
        <f>D697</f>
        <v>Male</v>
      </c>
      <c r="G698">
        <f>SUBTOTAL(9,G697:G697)</f>
        <v>2.1800000000000002</v>
      </c>
    </row>
    <row r="699" spans="1:7" hidden="1" outlineLevel="2" x14ac:dyDescent="0.3">
      <c r="A699">
        <v>672</v>
      </c>
      <c r="B699" t="s">
        <v>702</v>
      </c>
      <c r="C699">
        <v>9</v>
      </c>
      <c r="D699" t="s">
        <v>8</v>
      </c>
      <c r="E699">
        <v>122</v>
      </c>
      <c r="F699" t="s">
        <v>552</v>
      </c>
      <c r="G699">
        <v>2.85</v>
      </c>
    </row>
    <row r="700" spans="1:7" outlineLevel="1" collapsed="1" x14ac:dyDescent="0.3">
      <c r="B700" s="1" t="s">
        <v>1063</v>
      </c>
      <c r="D700" t="str">
        <f>D699</f>
        <v>Male</v>
      </c>
      <c r="G700">
        <f>SUBTOTAL(9,G699:G699)</f>
        <v>2.85</v>
      </c>
    </row>
    <row r="701" spans="1:7" hidden="1" outlineLevel="2" x14ac:dyDescent="0.3">
      <c r="A701">
        <v>702</v>
      </c>
      <c r="B701" t="s">
        <v>719</v>
      </c>
      <c r="C701">
        <v>19</v>
      </c>
      <c r="D701" t="s">
        <v>8</v>
      </c>
      <c r="E701">
        <v>12</v>
      </c>
      <c r="F701" t="s">
        <v>158</v>
      </c>
      <c r="G701">
        <v>1.02</v>
      </c>
    </row>
    <row r="702" spans="1:7" outlineLevel="1" collapsed="1" x14ac:dyDescent="0.3">
      <c r="B702" s="1" t="s">
        <v>1064</v>
      </c>
      <c r="D702" t="str">
        <f>D701</f>
        <v>Male</v>
      </c>
      <c r="G702">
        <f>SUBTOTAL(9,G701:G701)</f>
        <v>1.02</v>
      </c>
    </row>
    <row r="703" spans="1:7" hidden="1" outlineLevel="2" x14ac:dyDescent="0.3">
      <c r="A703">
        <v>376</v>
      </c>
      <c r="B703" t="s">
        <v>489</v>
      </c>
      <c r="C703">
        <v>33</v>
      </c>
      <c r="D703" t="s">
        <v>8</v>
      </c>
      <c r="E703">
        <v>59</v>
      </c>
      <c r="F703" t="s">
        <v>169</v>
      </c>
      <c r="G703">
        <v>4.2300000000000004</v>
      </c>
    </row>
    <row r="704" spans="1:7" outlineLevel="1" collapsed="1" x14ac:dyDescent="0.3">
      <c r="B704" s="1" t="s">
        <v>1065</v>
      </c>
      <c r="D704" t="str">
        <f>D703</f>
        <v>Male</v>
      </c>
      <c r="G704">
        <f>SUBTOTAL(9,G703:G703)</f>
        <v>4.2300000000000004</v>
      </c>
    </row>
    <row r="705" spans="1:7" hidden="1" outlineLevel="2" x14ac:dyDescent="0.3">
      <c r="A705">
        <v>294</v>
      </c>
      <c r="B705" t="s">
        <v>412</v>
      </c>
      <c r="C705">
        <v>37</v>
      </c>
      <c r="D705" t="s">
        <v>8</v>
      </c>
      <c r="E705">
        <v>171</v>
      </c>
      <c r="F705" t="s">
        <v>413</v>
      </c>
      <c r="G705">
        <v>1.79</v>
      </c>
    </row>
    <row r="706" spans="1:7" hidden="1" outlineLevel="2" x14ac:dyDescent="0.3">
      <c r="A706">
        <v>718</v>
      </c>
      <c r="B706" t="s">
        <v>412</v>
      </c>
      <c r="C706">
        <v>37</v>
      </c>
      <c r="D706" t="s">
        <v>8</v>
      </c>
      <c r="E706">
        <v>20</v>
      </c>
      <c r="F706" t="s">
        <v>150</v>
      </c>
      <c r="G706">
        <v>3.27</v>
      </c>
    </row>
    <row r="707" spans="1:7" outlineLevel="1" collapsed="1" x14ac:dyDescent="0.3">
      <c r="B707" s="1" t="s">
        <v>1066</v>
      </c>
      <c r="D707" t="str">
        <f>D706</f>
        <v>Male</v>
      </c>
      <c r="G707">
        <f>SUBTOTAL(9,G705:G706)</f>
        <v>5.0600000000000005</v>
      </c>
    </row>
    <row r="708" spans="1:7" hidden="1" outlineLevel="2" x14ac:dyDescent="0.3">
      <c r="A708">
        <v>426</v>
      </c>
      <c r="B708" t="s">
        <v>532</v>
      </c>
      <c r="C708">
        <v>23</v>
      </c>
      <c r="D708" t="s">
        <v>8</v>
      </c>
      <c r="E708">
        <v>32</v>
      </c>
      <c r="F708" t="s">
        <v>293</v>
      </c>
      <c r="G708">
        <v>1.1399999999999999</v>
      </c>
    </row>
    <row r="709" spans="1:7" outlineLevel="1" collapsed="1" x14ac:dyDescent="0.3">
      <c r="B709" s="1" t="s">
        <v>1067</v>
      </c>
      <c r="D709" t="str">
        <f>D708</f>
        <v>Male</v>
      </c>
      <c r="G709">
        <f>SUBTOTAL(9,G708:G708)</f>
        <v>1.1399999999999999</v>
      </c>
    </row>
    <row r="710" spans="1:7" hidden="1" outlineLevel="2" x14ac:dyDescent="0.3">
      <c r="A710">
        <v>750</v>
      </c>
      <c r="B710" t="s">
        <v>750</v>
      </c>
      <c r="C710">
        <v>22</v>
      </c>
      <c r="D710" t="s">
        <v>8</v>
      </c>
      <c r="E710">
        <v>167</v>
      </c>
      <c r="F710" t="s">
        <v>394</v>
      </c>
      <c r="G710">
        <v>3.61</v>
      </c>
    </row>
    <row r="711" spans="1:7" outlineLevel="1" collapsed="1" x14ac:dyDescent="0.3">
      <c r="B711" s="1" t="s">
        <v>1068</v>
      </c>
      <c r="D711" t="str">
        <f>D710</f>
        <v>Male</v>
      </c>
      <c r="G711">
        <f>SUBTOTAL(9,G710:G710)</f>
        <v>3.61</v>
      </c>
    </row>
    <row r="712" spans="1:7" hidden="1" outlineLevel="2" x14ac:dyDescent="0.3">
      <c r="A712">
        <v>121</v>
      </c>
      <c r="B712" t="s">
        <v>211</v>
      </c>
      <c r="C712">
        <v>23</v>
      </c>
      <c r="D712" t="s">
        <v>8</v>
      </c>
      <c r="E712">
        <v>1</v>
      </c>
      <c r="F712" t="s">
        <v>212</v>
      </c>
      <c r="G712">
        <v>3.26</v>
      </c>
    </row>
    <row r="713" spans="1:7" hidden="1" outlineLevel="2" x14ac:dyDescent="0.3">
      <c r="A713">
        <v>526</v>
      </c>
      <c r="B713" t="s">
        <v>211</v>
      </c>
      <c r="C713">
        <v>23</v>
      </c>
      <c r="D713" t="s">
        <v>8</v>
      </c>
      <c r="E713">
        <v>133</v>
      </c>
      <c r="F713" t="s">
        <v>74</v>
      </c>
      <c r="G713">
        <v>4.09</v>
      </c>
    </row>
    <row r="714" spans="1:7" outlineLevel="1" collapsed="1" x14ac:dyDescent="0.3">
      <c r="B714" s="1" t="s">
        <v>1069</v>
      </c>
      <c r="D714" t="str">
        <f>D713</f>
        <v>Male</v>
      </c>
      <c r="G714">
        <f>SUBTOTAL(9,G712:G713)</f>
        <v>7.35</v>
      </c>
    </row>
    <row r="715" spans="1:7" hidden="1" outlineLevel="2" x14ac:dyDescent="0.3">
      <c r="A715">
        <v>769</v>
      </c>
      <c r="B715" t="s">
        <v>758</v>
      </c>
      <c r="C715">
        <v>15</v>
      </c>
      <c r="D715" t="s">
        <v>8</v>
      </c>
      <c r="E715">
        <v>145</v>
      </c>
      <c r="F715" t="s">
        <v>227</v>
      </c>
      <c r="G715">
        <v>4.58</v>
      </c>
    </row>
    <row r="716" spans="1:7" outlineLevel="1" collapsed="1" x14ac:dyDescent="0.3">
      <c r="B716" s="1" t="s">
        <v>1070</v>
      </c>
      <c r="D716" t="str">
        <f>D715</f>
        <v>Male</v>
      </c>
      <c r="G716">
        <f>SUBTOTAL(9,G715:G715)</f>
        <v>4.58</v>
      </c>
    </row>
    <row r="717" spans="1:7" hidden="1" outlineLevel="2" x14ac:dyDescent="0.3">
      <c r="A717">
        <v>53</v>
      </c>
      <c r="B717" t="s">
        <v>111</v>
      </c>
      <c r="C717">
        <v>32</v>
      </c>
      <c r="D717" t="s">
        <v>8</v>
      </c>
      <c r="E717">
        <v>176</v>
      </c>
      <c r="F717" t="s">
        <v>112</v>
      </c>
      <c r="G717">
        <v>2.84</v>
      </c>
    </row>
    <row r="718" spans="1:7" outlineLevel="1" collapsed="1" x14ac:dyDescent="0.3">
      <c r="B718" s="1" t="s">
        <v>1071</v>
      </c>
      <c r="D718" t="str">
        <f>D717</f>
        <v>Male</v>
      </c>
      <c r="G718">
        <f>SUBTOTAL(9,G717:G717)</f>
        <v>2.84</v>
      </c>
    </row>
    <row r="719" spans="1:7" hidden="1" outlineLevel="2" x14ac:dyDescent="0.3">
      <c r="A719">
        <v>550</v>
      </c>
      <c r="B719" t="s">
        <v>627</v>
      </c>
      <c r="C719">
        <v>20</v>
      </c>
      <c r="D719" t="s">
        <v>8</v>
      </c>
      <c r="E719">
        <v>60</v>
      </c>
      <c r="F719" t="s">
        <v>110</v>
      </c>
      <c r="G719">
        <v>3.54</v>
      </c>
    </row>
    <row r="720" spans="1:7" outlineLevel="1" collapsed="1" x14ac:dyDescent="0.3">
      <c r="B720" s="1" t="s">
        <v>1072</v>
      </c>
      <c r="D720" t="str">
        <f>D719</f>
        <v>Male</v>
      </c>
      <c r="G720">
        <f>SUBTOTAL(9,G719:G719)</f>
        <v>3.54</v>
      </c>
    </row>
    <row r="721" spans="1:7" hidden="1" outlineLevel="2" x14ac:dyDescent="0.3">
      <c r="A721">
        <v>474</v>
      </c>
      <c r="B721" t="s">
        <v>573</v>
      </c>
      <c r="C721">
        <v>31</v>
      </c>
      <c r="D721" t="s">
        <v>8</v>
      </c>
      <c r="E721">
        <v>145</v>
      </c>
      <c r="F721" t="s">
        <v>227</v>
      </c>
      <c r="G721">
        <v>4.58</v>
      </c>
    </row>
    <row r="722" spans="1:7" outlineLevel="1" collapsed="1" x14ac:dyDescent="0.3">
      <c r="B722" s="1" t="s">
        <v>1073</v>
      </c>
      <c r="D722" t="str">
        <f>D721</f>
        <v>Male</v>
      </c>
      <c r="G722">
        <f>SUBTOTAL(9,G721:G721)</f>
        <v>4.58</v>
      </c>
    </row>
    <row r="723" spans="1:7" hidden="1" outlineLevel="2" x14ac:dyDescent="0.3">
      <c r="A723">
        <v>150</v>
      </c>
      <c r="B723" t="s">
        <v>248</v>
      </c>
      <c r="C723">
        <v>17</v>
      </c>
      <c r="D723" t="s">
        <v>8</v>
      </c>
      <c r="E723">
        <v>0</v>
      </c>
      <c r="F723" t="s">
        <v>228</v>
      </c>
      <c r="G723">
        <v>1.28</v>
      </c>
    </row>
    <row r="724" spans="1:7" hidden="1" outlineLevel="2" x14ac:dyDescent="0.3">
      <c r="A724">
        <v>268</v>
      </c>
      <c r="B724" t="s">
        <v>248</v>
      </c>
      <c r="C724">
        <v>17</v>
      </c>
      <c r="D724" t="s">
        <v>8</v>
      </c>
      <c r="E724">
        <v>71</v>
      </c>
      <c r="F724" t="s">
        <v>62</v>
      </c>
      <c r="G724">
        <v>1.61</v>
      </c>
    </row>
    <row r="725" spans="1:7" outlineLevel="1" collapsed="1" x14ac:dyDescent="0.3">
      <c r="B725" s="1" t="s">
        <v>1074</v>
      </c>
      <c r="D725" t="str">
        <f>D724</f>
        <v>Male</v>
      </c>
      <c r="G725">
        <f>SUBTOTAL(9,G723:G724)</f>
        <v>2.89</v>
      </c>
    </row>
    <row r="726" spans="1:7" hidden="1" outlineLevel="2" x14ac:dyDescent="0.3">
      <c r="A726">
        <v>175</v>
      </c>
      <c r="B726" t="s">
        <v>279</v>
      </c>
      <c r="C726">
        <v>17</v>
      </c>
      <c r="D726" t="s">
        <v>8</v>
      </c>
      <c r="E726">
        <v>103</v>
      </c>
      <c r="F726" t="s">
        <v>280</v>
      </c>
      <c r="G726">
        <v>4.3499999999999996</v>
      </c>
    </row>
    <row r="727" spans="1:7" outlineLevel="1" collapsed="1" x14ac:dyDescent="0.3">
      <c r="B727" s="1" t="s">
        <v>1075</v>
      </c>
      <c r="D727" t="str">
        <f>D726</f>
        <v>Male</v>
      </c>
      <c r="G727">
        <f>SUBTOTAL(9,G726:G726)</f>
        <v>4.3499999999999996</v>
      </c>
    </row>
    <row r="728" spans="1:7" hidden="1" outlineLevel="2" x14ac:dyDescent="0.3">
      <c r="A728">
        <v>721</v>
      </c>
      <c r="B728" t="s">
        <v>731</v>
      </c>
      <c r="C728">
        <v>20</v>
      </c>
      <c r="D728" t="s">
        <v>8</v>
      </c>
      <c r="E728">
        <v>156</v>
      </c>
      <c r="F728" t="s">
        <v>407</v>
      </c>
      <c r="G728">
        <v>1.77</v>
      </c>
    </row>
    <row r="729" spans="1:7" outlineLevel="1" collapsed="1" x14ac:dyDescent="0.3">
      <c r="B729" s="1" t="s">
        <v>1076</v>
      </c>
      <c r="D729" t="str">
        <f>D728</f>
        <v>Male</v>
      </c>
      <c r="G729">
        <f>SUBTOTAL(9,G728:G728)</f>
        <v>1.77</v>
      </c>
    </row>
    <row r="730" spans="1:7" hidden="1" outlineLevel="2" x14ac:dyDescent="0.3">
      <c r="A730">
        <v>68</v>
      </c>
      <c r="B730" t="s">
        <v>135</v>
      </c>
      <c r="C730">
        <v>15</v>
      </c>
      <c r="D730" t="s">
        <v>8</v>
      </c>
      <c r="E730">
        <v>27</v>
      </c>
      <c r="F730" t="s">
        <v>136</v>
      </c>
      <c r="G730">
        <v>3.3</v>
      </c>
    </row>
    <row r="731" spans="1:7" outlineLevel="1" collapsed="1" x14ac:dyDescent="0.3">
      <c r="B731" s="1" t="s">
        <v>1077</v>
      </c>
      <c r="D731" t="str">
        <f>D730</f>
        <v>Male</v>
      </c>
      <c r="G731">
        <f>SUBTOTAL(9,G730:G730)</f>
        <v>3.3</v>
      </c>
    </row>
    <row r="732" spans="1:7" hidden="1" outlineLevel="2" x14ac:dyDescent="0.3">
      <c r="A732">
        <v>492</v>
      </c>
      <c r="B732" t="s">
        <v>586</v>
      </c>
      <c r="C732">
        <v>23</v>
      </c>
      <c r="D732" t="s">
        <v>8</v>
      </c>
      <c r="E732">
        <v>143</v>
      </c>
      <c r="F732" t="s">
        <v>11</v>
      </c>
      <c r="G732">
        <v>1.56</v>
      </c>
    </row>
    <row r="733" spans="1:7" outlineLevel="1" collapsed="1" x14ac:dyDescent="0.3">
      <c r="B733" s="1" t="s">
        <v>1078</v>
      </c>
      <c r="D733" t="str">
        <f>D732</f>
        <v>Male</v>
      </c>
      <c r="G733">
        <f>SUBTOTAL(9,G732:G732)</f>
        <v>1.56</v>
      </c>
    </row>
    <row r="734" spans="1:7" hidden="1" outlineLevel="2" x14ac:dyDescent="0.3">
      <c r="A734">
        <v>10</v>
      </c>
      <c r="B734" t="s">
        <v>29</v>
      </c>
      <c r="C734">
        <v>23</v>
      </c>
      <c r="D734" t="s">
        <v>8</v>
      </c>
      <c r="E734">
        <v>95</v>
      </c>
      <c r="F734" t="s">
        <v>30</v>
      </c>
      <c r="G734">
        <v>4.74</v>
      </c>
    </row>
    <row r="735" spans="1:7" hidden="1" outlineLevel="2" x14ac:dyDescent="0.3">
      <c r="A735">
        <v>132</v>
      </c>
      <c r="B735" t="s">
        <v>29</v>
      </c>
      <c r="C735">
        <v>23</v>
      </c>
      <c r="D735" t="s">
        <v>8</v>
      </c>
      <c r="E735">
        <v>145</v>
      </c>
      <c r="F735" t="s">
        <v>227</v>
      </c>
      <c r="G735">
        <v>4.58</v>
      </c>
    </row>
    <row r="736" spans="1:7" hidden="1" outlineLevel="2" x14ac:dyDescent="0.3">
      <c r="A736">
        <v>509</v>
      </c>
      <c r="B736" t="s">
        <v>29</v>
      </c>
      <c r="C736">
        <v>23</v>
      </c>
      <c r="D736" t="s">
        <v>8</v>
      </c>
      <c r="E736">
        <v>117</v>
      </c>
      <c r="F736" t="s">
        <v>207</v>
      </c>
      <c r="G736">
        <v>1.79</v>
      </c>
    </row>
    <row r="737" spans="1:7" outlineLevel="1" collapsed="1" x14ac:dyDescent="0.3">
      <c r="B737" s="1" t="s">
        <v>1079</v>
      </c>
      <c r="D737" t="str">
        <f>D736</f>
        <v>Male</v>
      </c>
      <c r="G737">
        <f>SUBTOTAL(9,G734:G736)</f>
        <v>11.11</v>
      </c>
    </row>
    <row r="738" spans="1:7" hidden="1" outlineLevel="2" x14ac:dyDescent="0.3">
      <c r="A738">
        <v>128</v>
      </c>
      <c r="B738" t="s">
        <v>220</v>
      </c>
      <c r="C738">
        <v>21</v>
      </c>
      <c r="D738" t="s">
        <v>8</v>
      </c>
      <c r="E738">
        <v>58</v>
      </c>
      <c r="F738" t="s">
        <v>221</v>
      </c>
      <c r="G738">
        <v>4.1399999999999997</v>
      </c>
    </row>
    <row r="739" spans="1:7" hidden="1" outlineLevel="2" x14ac:dyDescent="0.3">
      <c r="A739">
        <v>623</v>
      </c>
      <c r="B739" t="s">
        <v>220</v>
      </c>
      <c r="C739">
        <v>21</v>
      </c>
      <c r="D739" t="s">
        <v>8</v>
      </c>
      <c r="E739">
        <v>114</v>
      </c>
      <c r="F739" t="s">
        <v>315</v>
      </c>
      <c r="G739">
        <v>3.82</v>
      </c>
    </row>
    <row r="740" spans="1:7" hidden="1" outlineLevel="2" x14ac:dyDescent="0.3">
      <c r="A740">
        <v>758</v>
      </c>
      <c r="B740" t="s">
        <v>220</v>
      </c>
      <c r="C740">
        <v>21</v>
      </c>
      <c r="D740" t="s">
        <v>8</v>
      </c>
      <c r="E740">
        <v>182</v>
      </c>
      <c r="F740" t="s">
        <v>374</v>
      </c>
      <c r="G740">
        <v>4.03</v>
      </c>
    </row>
    <row r="741" spans="1:7" hidden="1" outlineLevel="2" x14ac:dyDescent="0.3">
      <c r="A741">
        <v>776</v>
      </c>
      <c r="B741" t="s">
        <v>220</v>
      </c>
      <c r="C741">
        <v>21</v>
      </c>
      <c r="D741" t="s">
        <v>8</v>
      </c>
      <c r="E741">
        <v>164</v>
      </c>
      <c r="F741" t="s">
        <v>175</v>
      </c>
      <c r="G741">
        <v>1.63</v>
      </c>
    </row>
    <row r="742" spans="1:7" outlineLevel="1" collapsed="1" x14ac:dyDescent="0.3">
      <c r="B742" s="1" t="s">
        <v>1080</v>
      </c>
      <c r="D742" t="str">
        <f>D741</f>
        <v>Male</v>
      </c>
      <c r="G742">
        <f>SUBTOTAL(9,G738:G741)</f>
        <v>13.619999999999997</v>
      </c>
    </row>
    <row r="743" spans="1:7" hidden="1" outlineLevel="2" x14ac:dyDescent="0.3">
      <c r="A743">
        <v>137</v>
      </c>
      <c r="B743" t="s">
        <v>233</v>
      </c>
      <c r="C743">
        <v>20</v>
      </c>
      <c r="D743" t="s">
        <v>8</v>
      </c>
      <c r="E743">
        <v>179</v>
      </c>
      <c r="F743" t="s">
        <v>72</v>
      </c>
      <c r="G743">
        <v>4.4800000000000004</v>
      </c>
    </row>
    <row r="744" spans="1:7" hidden="1" outlineLevel="2" x14ac:dyDescent="0.3">
      <c r="A744">
        <v>161</v>
      </c>
      <c r="B744" t="s">
        <v>233</v>
      </c>
      <c r="C744">
        <v>20</v>
      </c>
      <c r="D744" t="s">
        <v>8</v>
      </c>
      <c r="E744">
        <v>3</v>
      </c>
      <c r="F744" t="s">
        <v>259</v>
      </c>
      <c r="G744">
        <v>2.4900000000000002</v>
      </c>
    </row>
    <row r="745" spans="1:7" hidden="1" outlineLevel="2" x14ac:dyDescent="0.3">
      <c r="A745">
        <v>551</v>
      </c>
      <c r="B745" t="s">
        <v>233</v>
      </c>
      <c r="C745">
        <v>20</v>
      </c>
      <c r="D745" t="s">
        <v>8</v>
      </c>
      <c r="E745">
        <v>160</v>
      </c>
      <c r="F745" t="s">
        <v>78</v>
      </c>
      <c r="G745">
        <v>4.4000000000000004</v>
      </c>
    </row>
    <row r="746" spans="1:7" outlineLevel="1" collapsed="1" x14ac:dyDescent="0.3">
      <c r="B746" s="1" t="s">
        <v>1081</v>
      </c>
      <c r="D746" t="str">
        <f>D745</f>
        <v>Male</v>
      </c>
      <c r="G746">
        <f>SUBTOTAL(9,G743:G745)</f>
        <v>11.370000000000001</v>
      </c>
    </row>
    <row r="747" spans="1:7" hidden="1" outlineLevel="2" x14ac:dyDescent="0.3">
      <c r="A747">
        <v>582</v>
      </c>
      <c r="B747" t="s">
        <v>645</v>
      </c>
      <c r="C747">
        <v>20</v>
      </c>
      <c r="D747" t="s">
        <v>8</v>
      </c>
      <c r="E747">
        <v>19</v>
      </c>
      <c r="F747" t="s">
        <v>358</v>
      </c>
      <c r="G747">
        <v>1.02</v>
      </c>
    </row>
    <row r="748" spans="1:7" outlineLevel="1" collapsed="1" x14ac:dyDescent="0.3">
      <c r="B748" s="1" t="s">
        <v>1082</v>
      </c>
      <c r="D748" t="str">
        <f>D747</f>
        <v>Male</v>
      </c>
      <c r="G748">
        <f>SUBTOTAL(9,G747:G747)</f>
        <v>1.02</v>
      </c>
    </row>
    <row r="749" spans="1:7" hidden="1" outlineLevel="2" x14ac:dyDescent="0.3">
      <c r="A749">
        <v>434</v>
      </c>
      <c r="B749" t="s">
        <v>538</v>
      </c>
      <c r="C749">
        <v>20</v>
      </c>
      <c r="D749" t="s">
        <v>8</v>
      </c>
      <c r="E749">
        <v>84</v>
      </c>
      <c r="F749" t="s">
        <v>116</v>
      </c>
      <c r="G749">
        <v>3.79</v>
      </c>
    </row>
    <row r="750" spans="1:7" outlineLevel="1" collapsed="1" x14ac:dyDescent="0.3">
      <c r="B750" s="1" t="s">
        <v>1083</v>
      </c>
      <c r="D750" t="str">
        <f>D749</f>
        <v>Male</v>
      </c>
      <c r="G750">
        <f>SUBTOTAL(9,G749:G749)</f>
        <v>3.79</v>
      </c>
    </row>
    <row r="751" spans="1:7" hidden="1" outlineLevel="2" x14ac:dyDescent="0.3">
      <c r="A751">
        <v>765</v>
      </c>
      <c r="B751" t="s">
        <v>757</v>
      </c>
      <c r="C751">
        <v>18</v>
      </c>
      <c r="D751" t="s">
        <v>8</v>
      </c>
      <c r="E751">
        <v>130</v>
      </c>
      <c r="F751" t="s">
        <v>704</v>
      </c>
      <c r="G751">
        <v>2.0699999999999998</v>
      </c>
    </row>
    <row r="752" spans="1:7" outlineLevel="1" collapsed="1" x14ac:dyDescent="0.3">
      <c r="B752" s="1" t="s">
        <v>1084</v>
      </c>
      <c r="D752" t="str">
        <f>D751</f>
        <v>Male</v>
      </c>
      <c r="G752">
        <f>SUBTOTAL(9,G751:G751)</f>
        <v>2.0699999999999998</v>
      </c>
    </row>
    <row r="753" spans="1:7" hidden="1" outlineLevel="2" x14ac:dyDescent="0.3">
      <c r="A753">
        <v>80</v>
      </c>
      <c r="B753" t="s">
        <v>153</v>
      </c>
      <c r="C753">
        <v>23</v>
      </c>
      <c r="D753" t="s">
        <v>8</v>
      </c>
      <c r="E753">
        <v>165</v>
      </c>
      <c r="F753" t="s">
        <v>37</v>
      </c>
      <c r="G753">
        <v>4.8600000000000003</v>
      </c>
    </row>
    <row r="754" spans="1:7" outlineLevel="1" collapsed="1" x14ac:dyDescent="0.3">
      <c r="B754" s="1" t="s">
        <v>1085</v>
      </c>
      <c r="D754" t="str">
        <f>D753</f>
        <v>Male</v>
      </c>
      <c r="G754">
        <f>SUBTOTAL(9,G753:G753)</f>
        <v>4.8600000000000003</v>
      </c>
    </row>
    <row r="755" spans="1:7" hidden="1" outlineLevel="2" x14ac:dyDescent="0.3">
      <c r="A755">
        <v>148</v>
      </c>
      <c r="B755" t="s">
        <v>245</v>
      </c>
      <c r="C755">
        <v>20</v>
      </c>
      <c r="D755" t="s">
        <v>8</v>
      </c>
      <c r="E755">
        <v>148</v>
      </c>
      <c r="F755" t="s">
        <v>246</v>
      </c>
      <c r="G755">
        <v>4.03</v>
      </c>
    </row>
    <row r="756" spans="1:7" hidden="1" outlineLevel="2" x14ac:dyDescent="0.3">
      <c r="A756">
        <v>247</v>
      </c>
      <c r="B756" t="s">
        <v>245</v>
      </c>
      <c r="C756">
        <v>20</v>
      </c>
      <c r="D756" t="s">
        <v>8</v>
      </c>
      <c r="E756">
        <v>82</v>
      </c>
      <c r="F756" t="s">
        <v>46</v>
      </c>
      <c r="G756">
        <v>4.9000000000000004</v>
      </c>
    </row>
    <row r="757" spans="1:7" hidden="1" outlineLevel="2" x14ac:dyDescent="0.3">
      <c r="A757">
        <v>318</v>
      </c>
      <c r="B757" t="s">
        <v>245</v>
      </c>
      <c r="C757">
        <v>20</v>
      </c>
      <c r="D757" t="s">
        <v>8</v>
      </c>
      <c r="E757">
        <v>91</v>
      </c>
      <c r="F757" t="s">
        <v>435</v>
      </c>
      <c r="G757">
        <v>4.17</v>
      </c>
    </row>
    <row r="758" spans="1:7" outlineLevel="1" collapsed="1" x14ac:dyDescent="0.3">
      <c r="B758" s="1" t="s">
        <v>1086</v>
      </c>
      <c r="D758" t="str">
        <f>D757</f>
        <v>Male</v>
      </c>
      <c r="G758">
        <f>SUBTOTAL(9,G755:G757)</f>
        <v>13.1</v>
      </c>
    </row>
    <row r="759" spans="1:7" hidden="1" outlineLevel="2" x14ac:dyDescent="0.3">
      <c r="A759">
        <v>649</v>
      </c>
      <c r="B759" t="s">
        <v>687</v>
      </c>
      <c r="C759">
        <v>15</v>
      </c>
      <c r="D759" t="s">
        <v>8</v>
      </c>
      <c r="E759">
        <v>67</v>
      </c>
      <c r="F759" t="s">
        <v>451</v>
      </c>
      <c r="G759">
        <v>3.46</v>
      </c>
    </row>
    <row r="760" spans="1:7" outlineLevel="1" collapsed="1" x14ac:dyDescent="0.3">
      <c r="B760" s="1" t="s">
        <v>1087</v>
      </c>
      <c r="D760" t="str">
        <f>D759</f>
        <v>Male</v>
      </c>
      <c r="G760">
        <f>SUBTOTAL(9,G759:G759)</f>
        <v>3.46</v>
      </c>
    </row>
    <row r="761" spans="1:7" hidden="1" outlineLevel="2" x14ac:dyDescent="0.3">
      <c r="A761">
        <v>508</v>
      </c>
      <c r="B761" t="s">
        <v>598</v>
      </c>
      <c r="C761">
        <v>16</v>
      </c>
      <c r="D761" t="s">
        <v>8</v>
      </c>
      <c r="E761">
        <v>7</v>
      </c>
      <c r="F761" t="s">
        <v>90</v>
      </c>
      <c r="G761">
        <v>1.33</v>
      </c>
    </row>
    <row r="762" spans="1:7" outlineLevel="1" collapsed="1" x14ac:dyDescent="0.3">
      <c r="B762" s="1" t="s">
        <v>1088</v>
      </c>
      <c r="D762" t="str">
        <f>D761</f>
        <v>Male</v>
      </c>
      <c r="G762">
        <f>SUBTOTAL(9,G761:G761)</f>
        <v>1.33</v>
      </c>
    </row>
    <row r="763" spans="1:7" hidden="1" outlineLevel="2" x14ac:dyDescent="0.3">
      <c r="A763">
        <v>136</v>
      </c>
      <c r="B763" t="s">
        <v>232</v>
      </c>
      <c r="C763">
        <v>22</v>
      </c>
      <c r="D763" t="s">
        <v>8</v>
      </c>
      <c r="E763">
        <v>105</v>
      </c>
      <c r="F763" t="s">
        <v>123</v>
      </c>
      <c r="G763">
        <v>3.03</v>
      </c>
    </row>
    <row r="764" spans="1:7" outlineLevel="1" collapsed="1" x14ac:dyDescent="0.3">
      <c r="B764" s="1" t="s">
        <v>1089</v>
      </c>
      <c r="D764" t="str">
        <f>D763</f>
        <v>Male</v>
      </c>
      <c r="G764">
        <f>SUBTOTAL(9,G763:G763)</f>
        <v>3.03</v>
      </c>
    </row>
    <row r="765" spans="1:7" hidden="1" outlineLevel="2" x14ac:dyDescent="0.3">
      <c r="A765">
        <v>7</v>
      </c>
      <c r="B765" t="s">
        <v>22</v>
      </c>
      <c r="C765">
        <v>20</v>
      </c>
      <c r="D765" t="s">
        <v>8</v>
      </c>
      <c r="E765">
        <v>162</v>
      </c>
      <c r="F765" t="s">
        <v>23</v>
      </c>
      <c r="G765">
        <v>2.67</v>
      </c>
    </row>
    <row r="766" spans="1:7" hidden="1" outlineLevel="2" x14ac:dyDescent="0.3">
      <c r="A766">
        <v>168</v>
      </c>
      <c r="B766" t="s">
        <v>22</v>
      </c>
      <c r="C766">
        <v>20</v>
      </c>
      <c r="D766" t="s">
        <v>8</v>
      </c>
      <c r="E766">
        <v>85</v>
      </c>
      <c r="F766" t="s">
        <v>193</v>
      </c>
      <c r="G766">
        <v>1.75</v>
      </c>
    </row>
    <row r="767" spans="1:7" outlineLevel="1" collapsed="1" x14ac:dyDescent="0.3">
      <c r="B767" s="1" t="s">
        <v>1090</v>
      </c>
      <c r="D767" t="str">
        <f>D766</f>
        <v>Male</v>
      </c>
      <c r="G767">
        <f>SUBTOTAL(9,G765:G766)</f>
        <v>4.42</v>
      </c>
    </row>
    <row r="768" spans="1:7" hidden="1" outlineLevel="2" x14ac:dyDescent="0.3">
      <c r="A768">
        <v>4</v>
      </c>
      <c r="B768" t="s">
        <v>16</v>
      </c>
      <c r="C768">
        <v>23</v>
      </c>
      <c r="D768" t="s">
        <v>8</v>
      </c>
      <c r="E768">
        <v>131</v>
      </c>
      <c r="F768" t="s">
        <v>17</v>
      </c>
      <c r="G768">
        <v>1.44</v>
      </c>
    </row>
    <row r="769" spans="1:7" outlineLevel="1" collapsed="1" x14ac:dyDescent="0.3">
      <c r="B769" s="1" t="s">
        <v>1091</v>
      </c>
      <c r="D769" t="str">
        <f>D768</f>
        <v>Male</v>
      </c>
      <c r="G769">
        <f>SUBTOTAL(9,G768:G768)</f>
        <v>1.44</v>
      </c>
    </row>
    <row r="770" spans="1:7" hidden="1" outlineLevel="2" x14ac:dyDescent="0.3">
      <c r="A770">
        <v>600</v>
      </c>
      <c r="B770" t="s">
        <v>658</v>
      </c>
      <c r="C770">
        <v>16</v>
      </c>
      <c r="D770" t="s">
        <v>8</v>
      </c>
      <c r="E770">
        <v>166</v>
      </c>
      <c r="F770" t="s">
        <v>388</v>
      </c>
      <c r="G770">
        <v>3.07</v>
      </c>
    </row>
    <row r="771" spans="1:7" outlineLevel="1" collapsed="1" x14ac:dyDescent="0.3">
      <c r="B771" s="1" t="s">
        <v>1092</v>
      </c>
      <c r="D771" t="str">
        <f>D770</f>
        <v>Male</v>
      </c>
      <c r="G771">
        <f>SUBTOTAL(9,G770:G770)</f>
        <v>3.07</v>
      </c>
    </row>
    <row r="772" spans="1:7" hidden="1" outlineLevel="2" x14ac:dyDescent="0.3">
      <c r="A772">
        <v>771</v>
      </c>
      <c r="B772" t="s">
        <v>759</v>
      </c>
      <c r="C772">
        <v>16</v>
      </c>
      <c r="D772" t="s">
        <v>8</v>
      </c>
      <c r="E772">
        <v>25</v>
      </c>
      <c r="F772" t="s">
        <v>114</v>
      </c>
      <c r="G772">
        <v>4.3499999999999996</v>
      </c>
    </row>
    <row r="773" spans="1:7" outlineLevel="1" collapsed="1" x14ac:dyDescent="0.3">
      <c r="B773" s="1" t="s">
        <v>1093</v>
      </c>
      <c r="D773" t="str">
        <f>D772</f>
        <v>Male</v>
      </c>
      <c r="G773">
        <f>SUBTOTAL(9,G772:G772)</f>
        <v>4.3499999999999996</v>
      </c>
    </row>
    <row r="774" spans="1:7" hidden="1" outlineLevel="2" x14ac:dyDescent="0.3">
      <c r="A774">
        <v>563</v>
      </c>
      <c r="B774" t="s">
        <v>634</v>
      </c>
      <c r="C774">
        <v>38</v>
      </c>
      <c r="D774" t="s">
        <v>8</v>
      </c>
      <c r="E774">
        <v>142</v>
      </c>
      <c r="F774" t="s">
        <v>338</v>
      </c>
      <c r="G774">
        <v>2.62</v>
      </c>
    </row>
    <row r="775" spans="1:7" hidden="1" outlineLevel="2" x14ac:dyDescent="0.3">
      <c r="A775">
        <v>660</v>
      </c>
      <c r="B775" t="s">
        <v>634</v>
      </c>
      <c r="C775">
        <v>38</v>
      </c>
      <c r="D775" t="s">
        <v>8</v>
      </c>
      <c r="E775">
        <v>103</v>
      </c>
      <c r="F775" t="s">
        <v>280</v>
      </c>
      <c r="G775">
        <v>4.3499999999999996</v>
      </c>
    </row>
    <row r="776" spans="1:7" outlineLevel="1" collapsed="1" x14ac:dyDescent="0.3">
      <c r="B776" s="1" t="s">
        <v>1094</v>
      </c>
      <c r="D776" t="str">
        <f>D775</f>
        <v>Male</v>
      </c>
      <c r="G776">
        <f>SUBTOTAL(9,G774:G775)</f>
        <v>6.97</v>
      </c>
    </row>
    <row r="777" spans="1:7" hidden="1" outlineLevel="2" x14ac:dyDescent="0.3">
      <c r="A777">
        <v>742</v>
      </c>
      <c r="B777" t="s">
        <v>745</v>
      </c>
      <c r="C777">
        <v>20</v>
      </c>
      <c r="D777" t="s">
        <v>8</v>
      </c>
      <c r="E777">
        <v>5</v>
      </c>
      <c r="F777" t="s">
        <v>276</v>
      </c>
      <c r="G777">
        <v>4.08</v>
      </c>
    </row>
    <row r="778" spans="1:7" outlineLevel="1" collapsed="1" x14ac:dyDescent="0.3">
      <c r="B778" s="1" t="s">
        <v>1095</v>
      </c>
      <c r="D778" t="str">
        <f>D777</f>
        <v>Male</v>
      </c>
      <c r="G778">
        <f>SUBTOTAL(9,G777:G777)</f>
        <v>4.08</v>
      </c>
    </row>
    <row r="779" spans="1:7" hidden="1" outlineLevel="2" x14ac:dyDescent="0.3">
      <c r="A779">
        <v>386</v>
      </c>
      <c r="B779" t="s">
        <v>499</v>
      </c>
      <c r="C779">
        <v>21</v>
      </c>
      <c r="D779" t="s">
        <v>8</v>
      </c>
      <c r="E779">
        <v>129</v>
      </c>
      <c r="F779" t="s">
        <v>163</v>
      </c>
      <c r="G779">
        <v>1.54</v>
      </c>
    </row>
    <row r="780" spans="1:7" outlineLevel="1" collapsed="1" x14ac:dyDescent="0.3">
      <c r="B780" s="1" t="s">
        <v>1096</v>
      </c>
      <c r="D780" t="str">
        <f>D779</f>
        <v>Male</v>
      </c>
      <c r="G780">
        <f>SUBTOTAL(9,G779:G779)</f>
        <v>1.54</v>
      </c>
    </row>
    <row r="781" spans="1:7" hidden="1" outlineLevel="2" x14ac:dyDescent="0.3">
      <c r="A781">
        <v>248</v>
      </c>
      <c r="B781" t="s">
        <v>366</v>
      </c>
      <c r="C781">
        <v>44</v>
      </c>
      <c r="D781" t="s">
        <v>8</v>
      </c>
      <c r="E781">
        <v>137</v>
      </c>
      <c r="F781" t="s">
        <v>330</v>
      </c>
      <c r="G781">
        <v>3.39</v>
      </c>
    </row>
    <row r="782" spans="1:7" outlineLevel="1" collapsed="1" x14ac:dyDescent="0.3">
      <c r="B782" s="1" t="s">
        <v>1097</v>
      </c>
      <c r="D782" t="str">
        <f>D781</f>
        <v>Male</v>
      </c>
      <c r="G782">
        <f>SUBTOTAL(9,G781:G781)</f>
        <v>3.39</v>
      </c>
    </row>
    <row r="783" spans="1:7" hidden="1" outlineLevel="2" x14ac:dyDescent="0.3">
      <c r="A783">
        <v>2</v>
      </c>
      <c r="B783" t="s">
        <v>12</v>
      </c>
      <c r="C783">
        <v>24</v>
      </c>
      <c r="D783" t="s">
        <v>8</v>
      </c>
      <c r="E783">
        <v>92</v>
      </c>
      <c r="F783" t="s">
        <v>13</v>
      </c>
      <c r="G783">
        <v>4.88</v>
      </c>
    </row>
    <row r="784" spans="1:7" outlineLevel="1" collapsed="1" x14ac:dyDescent="0.3">
      <c r="B784" s="1" t="s">
        <v>1098</v>
      </c>
      <c r="D784" t="str">
        <f>D783</f>
        <v>Male</v>
      </c>
      <c r="G784">
        <f>SUBTOTAL(9,G783:G783)</f>
        <v>4.88</v>
      </c>
    </row>
    <row r="785" spans="1:7" hidden="1" outlineLevel="2" x14ac:dyDescent="0.3">
      <c r="A785">
        <v>6</v>
      </c>
      <c r="B785" t="s">
        <v>20</v>
      </c>
      <c r="C785">
        <v>36</v>
      </c>
      <c r="D785" t="s">
        <v>8</v>
      </c>
      <c r="E785">
        <v>169</v>
      </c>
      <c r="F785" t="s">
        <v>21</v>
      </c>
      <c r="G785">
        <v>2.1800000000000002</v>
      </c>
    </row>
    <row r="786" spans="1:7" outlineLevel="1" collapsed="1" x14ac:dyDescent="0.3">
      <c r="B786" s="1" t="s">
        <v>1099</v>
      </c>
      <c r="D786" t="str">
        <f>D785</f>
        <v>Male</v>
      </c>
      <c r="G786">
        <f>SUBTOTAL(9,G785:G785)</f>
        <v>2.1800000000000002</v>
      </c>
    </row>
    <row r="787" spans="1:7" hidden="1" outlineLevel="2" x14ac:dyDescent="0.3">
      <c r="A787">
        <v>35</v>
      </c>
      <c r="B787" t="s">
        <v>79</v>
      </c>
      <c r="C787">
        <v>22</v>
      </c>
      <c r="D787" t="s">
        <v>8</v>
      </c>
      <c r="E787">
        <v>53</v>
      </c>
      <c r="F787" t="s">
        <v>80</v>
      </c>
      <c r="G787">
        <v>2.0499999999999998</v>
      </c>
    </row>
    <row r="788" spans="1:7" outlineLevel="1" collapsed="1" x14ac:dyDescent="0.3">
      <c r="B788" s="1" t="s">
        <v>1100</v>
      </c>
      <c r="D788" t="str">
        <f>D787</f>
        <v>Male</v>
      </c>
      <c r="G788">
        <f>SUBTOTAL(9,G787:G787)</f>
        <v>2.0499999999999998</v>
      </c>
    </row>
    <row r="789" spans="1:7" hidden="1" outlineLevel="2" x14ac:dyDescent="0.3">
      <c r="A789">
        <v>545</v>
      </c>
      <c r="B789" t="s">
        <v>623</v>
      </c>
      <c r="C789">
        <v>16</v>
      </c>
      <c r="D789" t="s">
        <v>8</v>
      </c>
      <c r="E789">
        <v>66</v>
      </c>
      <c r="F789" t="s">
        <v>347</v>
      </c>
      <c r="G789">
        <v>4.4000000000000004</v>
      </c>
    </row>
    <row r="790" spans="1:7" outlineLevel="1" collapsed="1" x14ac:dyDescent="0.3">
      <c r="B790" s="1" t="s">
        <v>1101</v>
      </c>
      <c r="D790" t="str">
        <f>D789</f>
        <v>Male</v>
      </c>
      <c r="G790">
        <f>SUBTOTAL(9,G789:G789)</f>
        <v>4.4000000000000004</v>
      </c>
    </row>
    <row r="791" spans="1:7" hidden="1" outlineLevel="2" x14ac:dyDescent="0.3">
      <c r="A791">
        <v>131</v>
      </c>
      <c r="B791" t="s">
        <v>226</v>
      </c>
      <c r="C791">
        <v>22</v>
      </c>
      <c r="D791" t="s">
        <v>8</v>
      </c>
      <c r="E791">
        <v>62</v>
      </c>
      <c r="F791" t="s">
        <v>217</v>
      </c>
      <c r="G791">
        <v>1.87</v>
      </c>
    </row>
    <row r="792" spans="1:7" outlineLevel="1" collapsed="1" x14ac:dyDescent="0.3">
      <c r="B792" s="1" t="s">
        <v>1102</v>
      </c>
      <c r="D792" t="str">
        <f>D791</f>
        <v>Male</v>
      </c>
      <c r="G792">
        <f>SUBTOTAL(9,G791:G791)</f>
        <v>1.87</v>
      </c>
    </row>
    <row r="793" spans="1:7" hidden="1" outlineLevel="2" x14ac:dyDescent="0.3">
      <c r="A793">
        <v>489</v>
      </c>
      <c r="B793" t="s">
        <v>584</v>
      </c>
      <c r="C793">
        <v>28</v>
      </c>
      <c r="D793" t="s">
        <v>8</v>
      </c>
      <c r="E793">
        <v>32</v>
      </c>
      <c r="F793" t="s">
        <v>293</v>
      </c>
      <c r="G793">
        <v>1.1399999999999999</v>
      </c>
    </row>
    <row r="794" spans="1:7" outlineLevel="1" collapsed="1" x14ac:dyDescent="0.3">
      <c r="B794" s="1" t="s">
        <v>1103</v>
      </c>
      <c r="D794" t="str">
        <f>D793</f>
        <v>Male</v>
      </c>
      <c r="G794">
        <f>SUBTOTAL(9,G793:G793)</f>
        <v>1.1399999999999999</v>
      </c>
    </row>
    <row r="795" spans="1:7" hidden="1" outlineLevel="2" x14ac:dyDescent="0.3">
      <c r="A795">
        <v>61</v>
      </c>
      <c r="B795" t="s">
        <v>125</v>
      </c>
      <c r="C795">
        <v>17</v>
      </c>
      <c r="D795" t="s">
        <v>8</v>
      </c>
      <c r="E795">
        <v>178</v>
      </c>
      <c r="F795" t="s">
        <v>60</v>
      </c>
      <c r="G795">
        <v>4.2300000000000004</v>
      </c>
    </row>
    <row r="796" spans="1:7" hidden="1" outlineLevel="2" x14ac:dyDescent="0.3">
      <c r="A796">
        <v>205</v>
      </c>
      <c r="B796" t="s">
        <v>125</v>
      </c>
      <c r="C796">
        <v>17</v>
      </c>
      <c r="D796" t="s">
        <v>8</v>
      </c>
      <c r="E796">
        <v>149</v>
      </c>
      <c r="F796" t="s">
        <v>320</v>
      </c>
      <c r="G796">
        <v>1.75</v>
      </c>
    </row>
    <row r="797" spans="1:7" outlineLevel="1" collapsed="1" x14ac:dyDescent="0.3">
      <c r="B797" s="1" t="s">
        <v>1104</v>
      </c>
      <c r="D797" t="str">
        <f>D796</f>
        <v>Male</v>
      </c>
      <c r="G797">
        <f>SUBTOTAL(9,G795:G796)</f>
        <v>5.98</v>
      </c>
    </row>
    <row r="798" spans="1:7" hidden="1" outlineLevel="2" x14ac:dyDescent="0.3">
      <c r="A798">
        <v>774</v>
      </c>
      <c r="B798" t="s">
        <v>761</v>
      </c>
      <c r="C798">
        <v>11</v>
      </c>
      <c r="D798" t="s">
        <v>8</v>
      </c>
      <c r="E798">
        <v>101</v>
      </c>
      <c r="F798" t="s">
        <v>13</v>
      </c>
      <c r="G798">
        <v>4.1900000000000004</v>
      </c>
    </row>
    <row r="799" spans="1:7" outlineLevel="1" collapsed="1" x14ac:dyDescent="0.3">
      <c r="B799" s="1" t="s">
        <v>1105</v>
      </c>
      <c r="D799" t="str">
        <f>D798</f>
        <v>Male</v>
      </c>
      <c r="G799">
        <f>SUBTOTAL(9,G798:G798)</f>
        <v>4.1900000000000004</v>
      </c>
    </row>
    <row r="800" spans="1:7" hidden="1" outlineLevel="2" x14ac:dyDescent="0.3">
      <c r="A800">
        <v>220</v>
      </c>
      <c r="B800" t="s">
        <v>335</v>
      </c>
      <c r="C800">
        <v>40</v>
      </c>
      <c r="D800" t="s">
        <v>8</v>
      </c>
      <c r="E800">
        <v>46</v>
      </c>
      <c r="F800" t="s">
        <v>243</v>
      </c>
      <c r="G800">
        <v>1.33</v>
      </c>
    </row>
    <row r="801" spans="1:7" outlineLevel="1" collapsed="1" x14ac:dyDescent="0.3">
      <c r="B801" s="1" t="s">
        <v>1106</v>
      </c>
      <c r="D801" t="str">
        <f>D800</f>
        <v>Male</v>
      </c>
      <c r="G801">
        <f>SUBTOTAL(9,G800:G800)</f>
        <v>1.33</v>
      </c>
    </row>
    <row r="802" spans="1:7" hidden="1" outlineLevel="2" x14ac:dyDescent="0.3">
      <c r="A802">
        <v>69</v>
      </c>
      <c r="B802" t="s">
        <v>137</v>
      </c>
      <c r="C802">
        <v>24</v>
      </c>
      <c r="D802" t="s">
        <v>8</v>
      </c>
      <c r="E802">
        <v>37</v>
      </c>
      <c r="F802" t="s">
        <v>68</v>
      </c>
      <c r="G802">
        <v>3.16</v>
      </c>
    </row>
    <row r="803" spans="1:7" outlineLevel="1" collapsed="1" x14ac:dyDescent="0.3">
      <c r="B803" s="1" t="s">
        <v>1107</v>
      </c>
      <c r="D803" t="str">
        <f>D802</f>
        <v>Male</v>
      </c>
      <c r="G803">
        <f>SUBTOTAL(9,G802:G802)</f>
        <v>3.16</v>
      </c>
    </row>
    <row r="804" spans="1:7" hidden="1" outlineLevel="2" x14ac:dyDescent="0.3">
      <c r="A804">
        <v>88</v>
      </c>
      <c r="B804" t="s">
        <v>164</v>
      </c>
      <c r="C804">
        <v>30</v>
      </c>
      <c r="D804" t="s">
        <v>8</v>
      </c>
      <c r="E804">
        <v>82</v>
      </c>
      <c r="F804" t="s">
        <v>46</v>
      </c>
      <c r="G804">
        <v>4.9000000000000004</v>
      </c>
    </row>
    <row r="805" spans="1:7" outlineLevel="1" collapsed="1" x14ac:dyDescent="0.3">
      <c r="B805" s="1" t="s">
        <v>1108</v>
      </c>
      <c r="D805" t="str">
        <f>D804</f>
        <v>Male</v>
      </c>
      <c r="G805">
        <f>SUBTOTAL(9,G804:G804)</f>
        <v>4.9000000000000004</v>
      </c>
    </row>
    <row r="806" spans="1:7" hidden="1" outlineLevel="2" x14ac:dyDescent="0.3">
      <c r="A806">
        <v>663</v>
      </c>
      <c r="B806" t="s">
        <v>694</v>
      </c>
      <c r="C806">
        <v>25</v>
      </c>
      <c r="D806" t="s">
        <v>8</v>
      </c>
      <c r="E806">
        <v>72</v>
      </c>
      <c r="F806" t="s">
        <v>92</v>
      </c>
      <c r="G806">
        <v>3.77</v>
      </c>
    </row>
    <row r="807" spans="1:7" outlineLevel="1" collapsed="1" x14ac:dyDescent="0.3">
      <c r="B807" s="1" t="s">
        <v>1109</v>
      </c>
      <c r="D807" t="str">
        <f>D806</f>
        <v>Male</v>
      </c>
      <c r="G807">
        <f>SUBTOTAL(9,G806:G806)</f>
        <v>3.77</v>
      </c>
    </row>
    <row r="808" spans="1:7" hidden="1" outlineLevel="2" x14ac:dyDescent="0.3">
      <c r="A808">
        <v>182</v>
      </c>
      <c r="B808" t="s">
        <v>289</v>
      </c>
      <c r="C808">
        <v>38</v>
      </c>
      <c r="D808" t="s">
        <v>8</v>
      </c>
      <c r="E808">
        <v>154</v>
      </c>
      <c r="F808" t="s">
        <v>290</v>
      </c>
      <c r="G808">
        <v>4.4000000000000004</v>
      </c>
    </row>
    <row r="809" spans="1:7" hidden="1" outlineLevel="2" x14ac:dyDescent="0.3">
      <c r="A809">
        <v>695</v>
      </c>
      <c r="B809" t="s">
        <v>289</v>
      </c>
      <c r="C809">
        <v>38</v>
      </c>
      <c r="D809" t="s">
        <v>8</v>
      </c>
      <c r="E809">
        <v>111</v>
      </c>
      <c r="F809" t="s">
        <v>256</v>
      </c>
      <c r="G809">
        <v>4.8899999999999997</v>
      </c>
    </row>
    <row r="810" spans="1:7" outlineLevel="1" collapsed="1" x14ac:dyDescent="0.3">
      <c r="B810" s="1" t="s">
        <v>1110</v>
      </c>
      <c r="D810" t="str">
        <f>D809</f>
        <v>Male</v>
      </c>
      <c r="G810">
        <f>SUBTOTAL(9,G808:G809)</f>
        <v>9.2899999999999991</v>
      </c>
    </row>
    <row r="811" spans="1:7" hidden="1" outlineLevel="2" x14ac:dyDescent="0.3">
      <c r="A811">
        <v>394</v>
      </c>
      <c r="B811" t="s">
        <v>507</v>
      </c>
      <c r="C811">
        <v>12</v>
      </c>
      <c r="D811" t="s">
        <v>8</v>
      </c>
      <c r="E811">
        <v>60</v>
      </c>
      <c r="F811" t="s">
        <v>110</v>
      </c>
      <c r="G811">
        <v>3.54</v>
      </c>
    </row>
    <row r="812" spans="1:7" outlineLevel="1" collapsed="1" x14ac:dyDescent="0.3">
      <c r="B812" s="1" t="s">
        <v>1111</v>
      </c>
      <c r="D812" t="str">
        <f>D811</f>
        <v>Male</v>
      </c>
      <c r="G812">
        <f>SUBTOTAL(9,G811:G811)</f>
        <v>3.54</v>
      </c>
    </row>
    <row r="813" spans="1:7" hidden="1" outlineLevel="2" x14ac:dyDescent="0.3">
      <c r="A813">
        <v>269</v>
      </c>
      <c r="B813" t="s">
        <v>384</v>
      </c>
      <c r="C813">
        <v>15</v>
      </c>
      <c r="D813" t="s">
        <v>8</v>
      </c>
      <c r="E813">
        <v>18</v>
      </c>
      <c r="F813" t="s">
        <v>385</v>
      </c>
      <c r="G813">
        <v>4.6500000000000004</v>
      </c>
    </row>
    <row r="814" spans="1:7" outlineLevel="1" collapsed="1" x14ac:dyDescent="0.3">
      <c r="B814" s="1" t="s">
        <v>1112</v>
      </c>
      <c r="D814" t="str">
        <f>D813</f>
        <v>Male</v>
      </c>
      <c r="G814">
        <f>SUBTOTAL(9,G813:G813)</f>
        <v>4.6500000000000004</v>
      </c>
    </row>
    <row r="815" spans="1:7" hidden="1" outlineLevel="2" x14ac:dyDescent="0.3">
      <c r="A815">
        <v>116</v>
      </c>
      <c r="B815" t="s">
        <v>205</v>
      </c>
      <c r="C815">
        <v>21</v>
      </c>
      <c r="D815" t="s">
        <v>8</v>
      </c>
      <c r="E815">
        <v>139</v>
      </c>
      <c r="F815" t="s">
        <v>196</v>
      </c>
      <c r="G815">
        <v>4.9400000000000004</v>
      </c>
    </row>
    <row r="816" spans="1:7" hidden="1" outlineLevel="2" x14ac:dyDescent="0.3">
      <c r="A816">
        <v>511</v>
      </c>
      <c r="B816" t="s">
        <v>205</v>
      </c>
      <c r="C816">
        <v>21</v>
      </c>
      <c r="D816" t="s">
        <v>8</v>
      </c>
      <c r="E816">
        <v>64</v>
      </c>
      <c r="F816" t="s">
        <v>486</v>
      </c>
      <c r="G816">
        <v>4.82</v>
      </c>
    </row>
    <row r="817" spans="1:7" hidden="1" outlineLevel="2" x14ac:dyDescent="0.3">
      <c r="A817">
        <v>763</v>
      </c>
      <c r="B817" t="s">
        <v>205</v>
      </c>
      <c r="C817">
        <v>21</v>
      </c>
      <c r="D817" t="s">
        <v>8</v>
      </c>
      <c r="E817">
        <v>85</v>
      </c>
      <c r="F817" t="s">
        <v>193</v>
      </c>
      <c r="G817">
        <v>1.75</v>
      </c>
    </row>
    <row r="818" spans="1:7" outlineLevel="1" collapsed="1" x14ac:dyDescent="0.3">
      <c r="B818" s="1" t="s">
        <v>1113</v>
      </c>
      <c r="D818" t="str">
        <f>D817</f>
        <v>Male</v>
      </c>
      <c r="G818">
        <f>SUBTOTAL(9,G815:G817)</f>
        <v>11.510000000000002</v>
      </c>
    </row>
    <row r="819" spans="1:7" hidden="1" outlineLevel="2" x14ac:dyDescent="0.3">
      <c r="A819">
        <v>454</v>
      </c>
      <c r="B819" t="s">
        <v>554</v>
      </c>
      <c r="C819">
        <v>25</v>
      </c>
      <c r="D819" t="s">
        <v>8</v>
      </c>
      <c r="E819">
        <v>1</v>
      </c>
      <c r="F819" t="s">
        <v>212</v>
      </c>
      <c r="G819">
        <v>3.26</v>
      </c>
    </row>
    <row r="820" spans="1:7" hidden="1" outlineLevel="2" x14ac:dyDescent="0.3">
      <c r="A820">
        <v>593</v>
      </c>
      <c r="B820" t="s">
        <v>554</v>
      </c>
      <c r="C820">
        <v>25</v>
      </c>
      <c r="D820" t="s">
        <v>8</v>
      </c>
      <c r="E820">
        <v>128</v>
      </c>
      <c r="F820" t="s">
        <v>402</v>
      </c>
      <c r="G820">
        <v>4.91</v>
      </c>
    </row>
    <row r="821" spans="1:7" outlineLevel="1" collapsed="1" x14ac:dyDescent="0.3">
      <c r="B821" s="1" t="s">
        <v>1114</v>
      </c>
      <c r="D821" t="str">
        <f>D820</f>
        <v>Male</v>
      </c>
      <c r="G821">
        <f>SUBTOTAL(9,G819:G820)</f>
        <v>8.17</v>
      </c>
    </row>
    <row r="822" spans="1:7" hidden="1" outlineLevel="2" x14ac:dyDescent="0.3">
      <c r="A822">
        <v>567</v>
      </c>
      <c r="B822" t="s">
        <v>637</v>
      </c>
      <c r="C822">
        <v>20</v>
      </c>
      <c r="D822" t="s">
        <v>8</v>
      </c>
      <c r="E822">
        <v>102</v>
      </c>
      <c r="F822" t="s">
        <v>99</v>
      </c>
      <c r="G822">
        <v>3.44</v>
      </c>
    </row>
    <row r="823" spans="1:7" outlineLevel="1" collapsed="1" x14ac:dyDescent="0.3">
      <c r="B823" s="1" t="s">
        <v>1115</v>
      </c>
      <c r="D823" t="str">
        <f>D822</f>
        <v>Male</v>
      </c>
      <c r="G823">
        <f>SUBTOTAL(9,G822:G822)</f>
        <v>3.44</v>
      </c>
    </row>
    <row r="824" spans="1:7" hidden="1" outlineLevel="2" x14ac:dyDescent="0.3">
      <c r="A824">
        <v>174</v>
      </c>
      <c r="B824" t="s">
        <v>277</v>
      </c>
      <c r="C824">
        <v>30</v>
      </c>
      <c r="D824" t="s">
        <v>8</v>
      </c>
      <c r="E824">
        <v>144</v>
      </c>
      <c r="F824" t="s">
        <v>278</v>
      </c>
      <c r="G824">
        <v>1.94</v>
      </c>
    </row>
    <row r="825" spans="1:7" outlineLevel="1" collapsed="1" x14ac:dyDescent="0.3">
      <c r="B825" s="1" t="s">
        <v>1116</v>
      </c>
      <c r="D825" t="str">
        <f>D824</f>
        <v>Male</v>
      </c>
      <c r="G825">
        <f>SUBTOTAL(9,G824:G824)</f>
        <v>1.94</v>
      </c>
    </row>
    <row r="826" spans="1:7" hidden="1" outlineLevel="2" x14ac:dyDescent="0.3">
      <c r="A826">
        <v>106</v>
      </c>
      <c r="B826" t="s">
        <v>188</v>
      </c>
      <c r="C826">
        <v>22</v>
      </c>
      <c r="D826" t="s">
        <v>8</v>
      </c>
      <c r="E826">
        <v>54</v>
      </c>
      <c r="F826" t="s">
        <v>189</v>
      </c>
      <c r="G826">
        <v>2.5</v>
      </c>
    </row>
    <row r="827" spans="1:7" outlineLevel="1" collapsed="1" x14ac:dyDescent="0.3">
      <c r="B827" s="1" t="s">
        <v>1117</v>
      </c>
      <c r="D827" t="str">
        <f>D826</f>
        <v>Male</v>
      </c>
      <c r="G827">
        <f>SUBTOTAL(9,G826:G826)</f>
        <v>2.5</v>
      </c>
    </row>
    <row r="828" spans="1:7" hidden="1" outlineLevel="2" x14ac:dyDescent="0.3">
      <c r="A828">
        <v>530</v>
      </c>
      <c r="B828" t="s">
        <v>613</v>
      </c>
      <c r="C828">
        <v>24</v>
      </c>
      <c r="D828" t="s">
        <v>8</v>
      </c>
      <c r="E828">
        <v>5</v>
      </c>
      <c r="F828" t="s">
        <v>276</v>
      </c>
      <c r="G828">
        <v>4.08</v>
      </c>
    </row>
    <row r="829" spans="1:7" hidden="1" outlineLevel="2" x14ac:dyDescent="0.3">
      <c r="A829">
        <v>735</v>
      </c>
      <c r="B829" t="s">
        <v>613</v>
      </c>
      <c r="C829">
        <v>24</v>
      </c>
      <c r="D829" t="s">
        <v>8</v>
      </c>
      <c r="E829">
        <v>54</v>
      </c>
      <c r="F829" t="s">
        <v>189</v>
      </c>
      <c r="G829">
        <v>2.5</v>
      </c>
    </row>
    <row r="830" spans="1:7" outlineLevel="1" collapsed="1" x14ac:dyDescent="0.3">
      <c r="B830" s="1" t="s">
        <v>1118</v>
      </c>
      <c r="D830" t="str">
        <f>D829</f>
        <v>Male</v>
      </c>
      <c r="G830">
        <f>SUBTOTAL(9,G828:G829)</f>
        <v>6.58</v>
      </c>
    </row>
    <row r="831" spans="1:7" hidden="1" outlineLevel="2" x14ac:dyDescent="0.3">
      <c r="A831">
        <v>639</v>
      </c>
      <c r="B831" t="s">
        <v>678</v>
      </c>
      <c r="C831">
        <v>27</v>
      </c>
      <c r="D831" t="s">
        <v>8</v>
      </c>
      <c r="E831">
        <v>86</v>
      </c>
      <c r="F831" t="s">
        <v>521</v>
      </c>
      <c r="G831">
        <v>2.27</v>
      </c>
    </row>
    <row r="832" spans="1:7" outlineLevel="1" collapsed="1" x14ac:dyDescent="0.3">
      <c r="B832" s="1" t="s">
        <v>1119</v>
      </c>
      <c r="D832" t="str">
        <f>D831</f>
        <v>Male</v>
      </c>
      <c r="G832">
        <f>SUBTOTAL(9,G831:G831)</f>
        <v>2.27</v>
      </c>
    </row>
    <row r="833" spans="1:7" hidden="1" outlineLevel="2" x14ac:dyDescent="0.3">
      <c r="A833">
        <v>165</v>
      </c>
      <c r="B833" t="s">
        <v>264</v>
      </c>
      <c r="C833">
        <v>15</v>
      </c>
      <c r="D833" t="s">
        <v>8</v>
      </c>
      <c r="E833">
        <v>183</v>
      </c>
      <c r="F833" t="s">
        <v>265</v>
      </c>
      <c r="G833">
        <v>1.0900000000000001</v>
      </c>
    </row>
    <row r="834" spans="1:7" outlineLevel="1" collapsed="1" x14ac:dyDescent="0.3">
      <c r="B834" s="1" t="s">
        <v>1120</v>
      </c>
      <c r="D834" t="str">
        <f>D833</f>
        <v>Male</v>
      </c>
      <c r="G834">
        <f>SUBTOTAL(9,G833:G833)</f>
        <v>1.0900000000000001</v>
      </c>
    </row>
    <row r="835" spans="1:7" hidden="1" outlineLevel="2" x14ac:dyDescent="0.3">
      <c r="A835">
        <v>655</v>
      </c>
      <c r="B835" t="s">
        <v>689</v>
      </c>
      <c r="C835">
        <v>15</v>
      </c>
      <c r="D835" t="s">
        <v>8</v>
      </c>
      <c r="E835">
        <v>20</v>
      </c>
      <c r="F835" t="s">
        <v>150</v>
      </c>
      <c r="G835">
        <v>3.27</v>
      </c>
    </row>
    <row r="836" spans="1:7" outlineLevel="1" collapsed="1" x14ac:dyDescent="0.3">
      <c r="B836" s="1" t="s">
        <v>1121</v>
      </c>
      <c r="D836" t="str">
        <f>D835</f>
        <v>Male</v>
      </c>
      <c r="G836">
        <f>SUBTOTAL(9,G835:G835)</f>
        <v>3.27</v>
      </c>
    </row>
    <row r="837" spans="1:7" hidden="1" outlineLevel="2" x14ac:dyDescent="0.3">
      <c r="A837">
        <v>213</v>
      </c>
      <c r="B837" t="s">
        <v>328</v>
      </c>
      <c r="C837">
        <v>29</v>
      </c>
      <c r="D837" t="s">
        <v>8</v>
      </c>
      <c r="E837">
        <v>2</v>
      </c>
      <c r="F837" t="s">
        <v>229</v>
      </c>
      <c r="G837">
        <v>2.48</v>
      </c>
    </row>
    <row r="838" spans="1:7" outlineLevel="1" collapsed="1" x14ac:dyDescent="0.3">
      <c r="B838" s="1" t="s">
        <v>1122</v>
      </c>
      <c r="D838" t="str">
        <f>D837</f>
        <v>Male</v>
      </c>
      <c r="G838">
        <f>SUBTOTAL(9,G837:G837)</f>
        <v>2.48</v>
      </c>
    </row>
    <row r="839" spans="1:7" hidden="1" outlineLevel="2" x14ac:dyDescent="0.3">
      <c r="A839">
        <v>240</v>
      </c>
      <c r="B839" t="s">
        <v>359</v>
      </c>
      <c r="C839">
        <v>16</v>
      </c>
      <c r="D839" t="s">
        <v>8</v>
      </c>
      <c r="E839">
        <v>82</v>
      </c>
      <c r="F839" t="s">
        <v>46</v>
      </c>
      <c r="G839">
        <v>4.9000000000000004</v>
      </c>
    </row>
    <row r="840" spans="1:7" hidden="1" outlineLevel="2" x14ac:dyDescent="0.3">
      <c r="A840">
        <v>675</v>
      </c>
      <c r="B840" t="s">
        <v>359</v>
      </c>
      <c r="C840">
        <v>16</v>
      </c>
      <c r="D840" t="s">
        <v>8</v>
      </c>
      <c r="E840">
        <v>144</v>
      </c>
      <c r="F840" t="s">
        <v>278</v>
      </c>
      <c r="G840">
        <v>1.94</v>
      </c>
    </row>
    <row r="841" spans="1:7" outlineLevel="1" collapsed="1" x14ac:dyDescent="0.3">
      <c r="B841" s="1" t="s">
        <v>1123</v>
      </c>
      <c r="D841" t="str">
        <f>D840</f>
        <v>Male</v>
      </c>
      <c r="G841">
        <f>SUBTOTAL(9,G839:G840)</f>
        <v>6.84</v>
      </c>
    </row>
    <row r="842" spans="1:7" hidden="1" outlineLevel="2" x14ac:dyDescent="0.3">
      <c r="A842">
        <v>435</v>
      </c>
      <c r="B842" t="s">
        <v>539</v>
      </c>
      <c r="C842">
        <v>21</v>
      </c>
      <c r="D842" t="s">
        <v>8</v>
      </c>
      <c r="E842">
        <v>93</v>
      </c>
      <c r="F842" t="s">
        <v>523</v>
      </c>
      <c r="G842">
        <v>1.97</v>
      </c>
    </row>
    <row r="843" spans="1:7" hidden="1" outlineLevel="2" x14ac:dyDescent="0.3">
      <c r="A843">
        <v>708</v>
      </c>
      <c r="B843" t="s">
        <v>539</v>
      </c>
      <c r="C843">
        <v>21</v>
      </c>
      <c r="D843" t="s">
        <v>8</v>
      </c>
      <c r="E843">
        <v>67</v>
      </c>
      <c r="F843" t="s">
        <v>451</v>
      </c>
      <c r="G843">
        <v>3.46</v>
      </c>
    </row>
    <row r="844" spans="1:7" outlineLevel="1" collapsed="1" x14ac:dyDescent="0.3">
      <c r="B844" s="1" t="s">
        <v>1124</v>
      </c>
      <c r="D844" t="str">
        <f>D843</f>
        <v>Male</v>
      </c>
      <c r="G844">
        <f>SUBTOTAL(9,G842:G843)</f>
        <v>5.43</v>
      </c>
    </row>
    <row r="845" spans="1:7" hidden="1" outlineLevel="2" x14ac:dyDescent="0.3">
      <c r="A845">
        <v>246</v>
      </c>
      <c r="B845" t="s">
        <v>365</v>
      </c>
      <c r="C845">
        <v>24</v>
      </c>
      <c r="D845" t="s">
        <v>8</v>
      </c>
      <c r="E845">
        <v>139</v>
      </c>
      <c r="F845" t="s">
        <v>196</v>
      </c>
      <c r="G845">
        <v>4.9400000000000004</v>
      </c>
    </row>
    <row r="846" spans="1:7" outlineLevel="1" collapsed="1" x14ac:dyDescent="0.3">
      <c r="B846" s="1" t="s">
        <v>1125</v>
      </c>
      <c r="D846" t="str">
        <f>D845</f>
        <v>Male</v>
      </c>
      <c r="G846">
        <f>SUBTOTAL(9,G845:G845)</f>
        <v>4.9400000000000004</v>
      </c>
    </row>
    <row r="847" spans="1:7" hidden="1" outlineLevel="2" x14ac:dyDescent="0.3">
      <c r="A847">
        <v>320</v>
      </c>
      <c r="B847" t="s">
        <v>436</v>
      </c>
      <c r="C847">
        <v>24</v>
      </c>
      <c r="D847" t="s">
        <v>8</v>
      </c>
      <c r="E847">
        <v>77</v>
      </c>
      <c r="F847" t="s">
        <v>296</v>
      </c>
      <c r="G847">
        <v>4</v>
      </c>
    </row>
    <row r="848" spans="1:7" hidden="1" outlineLevel="2" x14ac:dyDescent="0.3">
      <c r="A848">
        <v>651</v>
      </c>
      <c r="B848" t="s">
        <v>436</v>
      </c>
      <c r="C848">
        <v>24</v>
      </c>
      <c r="D848" t="s">
        <v>8</v>
      </c>
      <c r="E848">
        <v>132</v>
      </c>
      <c r="F848" t="s">
        <v>58</v>
      </c>
      <c r="G848">
        <v>3.33</v>
      </c>
    </row>
    <row r="849" spans="1:7" outlineLevel="1" collapsed="1" x14ac:dyDescent="0.3">
      <c r="B849" s="1" t="s">
        <v>1126</v>
      </c>
      <c r="D849" t="str">
        <f>D848</f>
        <v>Male</v>
      </c>
      <c r="G849">
        <f>SUBTOTAL(9,G847:G848)</f>
        <v>7.33</v>
      </c>
    </row>
    <row r="850" spans="1:7" hidden="1" outlineLevel="2" x14ac:dyDescent="0.3">
      <c r="A850">
        <v>160</v>
      </c>
      <c r="B850" t="s">
        <v>258</v>
      </c>
      <c r="C850">
        <v>24</v>
      </c>
      <c r="D850" t="s">
        <v>8</v>
      </c>
      <c r="E850">
        <v>44</v>
      </c>
      <c r="F850" t="s">
        <v>76</v>
      </c>
      <c r="G850">
        <v>2.38</v>
      </c>
    </row>
    <row r="851" spans="1:7" hidden="1" outlineLevel="2" x14ac:dyDescent="0.3">
      <c r="A851">
        <v>525</v>
      </c>
      <c r="B851" t="s">
        <v>258</v>
      </c>
      <c r="C851">
        <v>24</v>
      </c>
      <c r="D851" t="s">
        <v>8</v>
      </c>
      <c r="E851">
        <v>126</v>
      </c>
      <c r="F851" t="s">
        <v>609</v>
      </c>
      <c r="G851">
        <v>2</v>
      </c>
    </row>
    <row r="852" spans="1:7" outlineLevel="1" collapsed="1" x14ac:dyDescent="0.3">
      <c r="B852" s="1" t="s">
        <v>1127</v>
      </c>
      <c r="D852" t="str">
        <f>D851</f>
        <v>Male</v>
      </c>
      <c r="G852">
        <f>SUBTOTAL(9,G850:G851)</f>
        <v>4.38</v>
      </c>
    </row>
    <row r="853" spans="1:7" hidden="1" outlineLevel="2" x14ac:dyDescent="0.3">
      <c r="A853">
        <v>265</v>
      </c>
      <c r="B853" t="s">
        <v>382</v>
      </c>
      <c r="C853">
        <v>25</v>
      </c>
      <c r="D853" t="s">
        <v>8</v>
      </c>
      <c r="E853">
        <v>172</v>
      </c>
      <c r="F853" t="s">
        <v>87</v>
      </c>
      <c r="G853">
        <v>3.14</v>
      </c>
    </row>
    <row r="854" spans="1:7" outlineLevel="1" collapsed="1" x14ac:dyDescent="0.3">
      <c r="B854" s="1" t="s">
        <v>1128</v>
      </c>
      <c r="D854" t="str">
        <f>D853</f>
        <v>Male</v>
      </c>
      <c r="G854">
        <f>SUBTOTAL(9,G853:G853)</f>
        <v>3.14</v>
      </c>
    </row>
    <row r="855" spans="1:7" hidden="1" outlineLevel="2" x14ac:dyDescent="0.3">
      <c r="A855">
        <v>531</v>
      </c>
      <c r="B855" t="s">
        <v>614</v>
      </c>
      <c r="C855">
        <v>12</v>
      </c>
      <c r="D855" t="s">
        <v>8</v>
      </c>
      <c r="E855">
        <v>143</v>
      </c>
      <c r="F855" t="s">
        <v>11</v>
      </c>
      <c r="G855">
        <v>1.56</v>
      </c>
    </row>
    <row r="856" spans="1:7" outlineLevel="1" collapsed="1" x14ac:dyDescent="0.3">
      <c r="B856" s="1" t="s">
        <v>1129</v>
      </c>
      <c r="D856" t="str">
        <f>D855</f>
        <v>Male</v>
      </c>
      <c r="G856">
        <f>SUBTOTAL(9,G855:G855)</f>
        <v>1.56</v>
      </c>
    </row>
    <row r="857" spans="1:7" hidden="1" outlineLevel="2" x14ac:dyDescent="0.3">
      <c r="A857">
        <v>475</v>
      </c>
      <c r="B857" t="s">
        <v>574</v>
      </c>
      <c r="C857">
        <v>24</v>
      </c>
      <c r="D857" t="s">
        <v>8</v>
      </c>
      <c r="E857">
        <v>6</v>
      </c>
      <c r="F857" t="s">
        <v>134</v>
      </c>
      <c r="G857">
        <v>3.7</v>
      </c>
    </row>
    <row r="858" spans="1:7" hidden="1" outlineLevel="2" x14ac:dyDescent="0.3">
      <c r="A858">
        <v>691</v>
      </c>
      <c r="B858" t="s">
        <v>574</v>
      </c>
      <c r="C858">
        <v>24</v>
      </c>
      <c r="D858" t="s">
        <v>8</v>
      </c>
      <c r="E858">
        <v>112</v>
      </c>
      <c r="F858" t="s">
        <v>566</v>
      </c>
      <c r="G858">
        <v>2.6</v>
      </c>
    </row>
    <row r="859" spans="1:7" outlineLevel="1" collapsed="1" x14ac:dyDescent="0.3">
      <c r="B859" s="1" t="s">
        <v>1130</v>
      </c>
      <c r="D859" t="str">
        <f>D858</f>
        <v>Male</v>
      </c>
      <c r="G859">
        <f>SUBTOTAL(9,G857:G858)</f>
        <v>6.3000000000000007</v>
      </c>
    </row>
    <row r="860" spans="1:7" hidden="1" outlineLevel="2" x14ac:dyDescent="0.3">
      <c r="A860">
        <v>77</v>
      </c>
      <c r="B860" t="s">
        <v>149</v>
      </c>
      <c r="C860">
        <v>34</v>
      </c>
      <c r="D860" t="s">
        <v>8</v>
      </c>
      <c r="E860">
        <v>20</v>
      </c>
      <c r="F860" t="s">
        <v>150</v>
      </c>
      <c r="G860">
        <v>3.27</v>
      </c>
    </row>
    <row r="861" spans="1:7" hidden="1" outlineLevel="2" x14ac:dyDescent="0.3">
      <c r="A861">
        <v>770</v>
      </c>
      <c r="B861" t="s">
        <v>149</v>
      </c>
      <c r="C861">
        <v>34</v>
      </c>
      <c r="D861" t="s">
        <v>8</v>
      </c>
      <c r="E861">
        <v>12</v>
      </c>
      <c r="F861" t="s">
        <v>158</v>
      </c>
      <c r="G861">
        <v>1.02</v>
      </c>
    </row>
    <row r="862" spans="1:7" outlineLevel="1" collapsed="1" x14ac:dyDescent="0.3">
      <c r="B862" s="1" t="s">
        <v>1131</v>
      </c>
      <c r="D862" t="str">
        <f>D861</f>
        <v>Male</v>
      </c>
      <c r="G862">
        <f>SUBTOTAL(9,G860:G861)</f>
        <v>4.29</v>
      </c>
    </row>
    <row r="863" spans="1:7" hidden="1" outlineLevel="2" x14ac:dyDescent="0.3">
      <c r="A863">
        <v>244</v>
      </c>
      <c r="B863" t="s">
        <v>364</v>
      </c>
      <c r="C863">
        <v>24</v>
      </c>
      <c r="D863" t="s">
        <v>8</v>
      </c>
      <c r="E863">
        <v>37</v>
      </c>
      <c r="F863" t="s">
        <v>68</v>
      </c>
      <c r="G863">
        <v>3.16</v>
      </c>
    </row>
    <row r="864" spans="1:7" hidden="1" outlineLevel="2" x14ac:dyDescent="0.3">
      <c r="A864">
        <v>682</v>
      </c>
      <c r="B864" t="s">
        <v>364</v>
      </c>
      <c r="C864">
        <v>24</v>
      </c>
      <c r="D864" t="s">
        <v>8</v>
      </c>
      <c r="E864">
        <v>135</v>
      </c>
      <c r="F864" t="s">
        <v>283</v>
      </c>
      <c r="G864">
        <v>1.4</v>
      </c>
    </row>
    <row r="865" spans="1:7" outlineLevel="1" collapsed="1" x14ac:dyDescent="0.3">
      <c r="B865" s="1" t="s">
        <v>1132</v>
      </c>
      <c r="D865" t="str">
        <f>D864</f>
        <v>Male</v>
      </c>
      <c r="G865">
        <f>SUBTOTAL(9,G863:G864)</f>
        <v>4.5600000000000005</v>
      </c>
    </row>
    <row r="866" spans="1:7" hidden="1" outlineLevel="2" x14ac:dyDescent="0.3">
      <c r="A866">
        <v>26</v>
      </c>
      <c r="B866" t="s">
        <v>61</v>
      </c>
      <c r="C866">
        <v>11</v>
      </c>
      <c r="D866" t="s">
        <v>8</v>
      </c>
      <c r="E866">
        <v>71</v>
      </c>
      <c r="F866" t="s">
        <v>62</v>
      </c>
      <c r="G866">
        <v>1.61</v>
      </c>
    </row>
    <row r="867" spans="1:7" hidden="1" outlineLevel="2" x14ac:dyDescent="0.3">
      <c r="A867">
        <v>299</v>
      </c>
      <c r="B867" t="s">
        <v>61</v>
      </c>
      <c r="C867">
        <v>11</v>
      </c>
      <c r="D867" t="s">
        <v>8</v>
      </c>
      <c r="E867">
        <v>164</v>
      </c>
      <c r="F867" t="s">
        <v>175</v>
      </c>
      <c r="G867">
        <v>1.63</v>
      </c>
    </row>
    <row r="868" spans="1:7" outlineLevel="1" collapsed="1" x14ac:dyDescent="0.3">
      <c r="B868" s="1" t="s">
        <v>1133</v>
      </c>
      <c r="D868" t="str">
        <f>D867</f>
        <v>Male</v>
      </c>
      <c r="G868">
        <f>SUBTOTAL(9,G866:G867)</f>
        <v>3.24</v>
      </c>
    </row>
    <row r="869" spans="1:7" hidden="1" outlineLevel="2" x14ac:dyDescent="0.3">
      <c r="A869">
        <v>190</v>
      </c>
      <c r="B869" t="s">
        <v>302</v>
      </c>
      <c r="C869">
        <v>27</v>
      </c>
      <c r="D869" t="s">
        <v>8</v>
      </c>
      <c r="E869">
        <v>69</v>
      </c>
      <c r="F869" t="s">
        <v>303</v>
      </c>
      <c r="G869">
        <v>1.98</v>
      </c>
    </row>
    <row r="870" spans="1:7" outlineLevel="1" collapsed="1" x14ac:dyDescent="0.3">
      <c r="B870" s="1" t="s">
        <v>1134</v>
      </c>
      <c r="D870" t="str">
        <f>D869</f>
        <v>Male</v>
      </c>
      <c r="G870">
        <f>SUBTOTAL(9,G869:G869)</f>
        <v>1.98</v>
      </c>
    </row>
    <row r="871" spans="1:7" hidden="1" outlineLevel="2" x14ac:dyDescent="0.3">
      <c r="A871">
        <v>139</v>
      </c>
      <c r="B871" t="s">
        <v>235</v>
      </c>
      <c r="C871">
        <v>13</v>
      </c>
      <c r="D871" t="s">
        <v>8</v>
      </c>
      <c r="E871">
        <v>158</v>
      </c>
      <c r="F871" t="s">
        <v>236</v>
      </c>
      <c r="G871">
        <v>2.4500000000000002</v>
      </c>
    </row>
    <row r="872" spans="1:7" hidden="1" outlineLevel="2" x14ac:dyDescent="0.3">
      <c r="A872">
        <v>292</v>
      </c>
      <c r="B872" t="s">
        <v>235</v>
      </c>
      <c r="C872">
        <v>13</v>
      </c>
      <c r="D872" t="s">
        <v>8</v>
      </c>
      <c r="E872">
        <v>70</v>
      </c>
      <c r="F872" t="s">
        <v>379</v>
      </c>
      <c r="G872">
        <v>1.03</v>
      </c>
    </row>
    <row r="873" spans="1:7" outlineLevel="1" collapsed="1" x14ac:dyDescent="0.3">
      <c r="B873" s="1" t="s">
        <v>1135</v>
      </c>
      <c r="D873" t="str">
        <f>D872</f>
        <v>Male</v>
      </c>
      <c r="G873">
        <f>SUBTOTAL(9,G871:G872)</f>
        <v>3.4800000000000004</v>
      </c>
    </row>
    <row r="874" spans="1:7" hidden="1" outlineLevel="2" x14ac:dyDescent="0.3">
      <c r="A874">
        <v>96</v>
      </c>
      <c r="B874" t="s">
        <v>176</v>
      </c>
      <c r="C874">
        <v>16</v>
      </c>
      <c r="D874" t="s">
        <v>8</v>
      </c>
      <c r="E874">
        <v>56</v>
      </c>
      <c r="F874" t="s">
        <v>130</v>
      </c>
      <c r="G874">
        <v>2.92</v>
      </c>
    </row>
    <row r="875" spans="1:7" outlineLevel="1" collapsed="1" x14ac:dyDescent="0.3">
      <c r="B875" s="1" t="s">
        <v>1136</v>
      </c>
      <c r="D875" t="str">
        <f>D874</f>
        <v>Male</v>
      </c>
      <c r="G875">
        <f>SUBTOTAL(9,G874:G874)</f>
        <v>2.92</v>
      </c>
    </row>
    <row r="876" spans="1:7" hidden="1" outlineLevel="2" x14ac:dyDescent="0.3">
      <c r="A876">
        <v>659</v>
      </c>
      <c r="B876" t="s">
        <v>692</v>
      </c>
      <c r="C876">
        <v>36</v>
      </c>
      <c r="D876" t="s">
        <v>8</v>
      </c>
      <c r="E876">
        <v>140</v>
      </c>
      <c r="F876" t="s">
        <v>70</v>
      </c>
      <c r="G876">
        <v>2.94</v>
      </c>
    </row>
    <row r="877" spans="1:7" outlineLevel="1" collapsed="1" x14ac:dyDescent="0.3">
      <c r="B877" s="1" t="s">
        <v>1137</v>
      </c>
      <c r="D877" t="str">
        <f>D876</f>
        <v>Male</v>
      </c>
      <c r="G877">
        <f>SUBTOTAL(9,G876:G876)</f>
        <v>2.94</v>
      </c>
    </row>
    <row r="878" spans="1:7" hidden="1" outlineLevel="2" x14ac:dyDescent="0.3">
      <c r="A878">
        <v>724</v>
      </c>
      <c r="B878" t="s">
        <v>732</v>
      </c>
      <c r="C878">
        <v>25</v>
      </c>
      <c r="D878" t="s">
        <v>8</v>
      </c>
      <c r="E878">
        <v>144</v>
      </c>
      <c r="F878" t="s">
        <v>278</v>
      </c>
      <c r="G878">
        <v>1.94</v>
      </c>
    </row>
    <row r="879" spans="1:7" outlineLevel="1" collapsed="1" x14ac:dyDescent="0.3">
      <c r="B879" s="1" t="s">
        <v>1138</v>
      </c>
      <c r="D879" t="str">
        <f>D878</f>
        <v>Male</v>
      </c>
      <c r="G879">
        <f>SUBTOTAL(9,G878:G878)</f>
        <v>1.94</v>
      </c>
    </row>
    <row r="880" spans="1:7" hidden="1" outlineLevel="2" x14ac:dyDescent="0.3">
      <c r="A880">
        <v>129</v>
      </c>
      <c r="B880" t="s">
        <v>222</v>
      </c>
      <c r="C880">
        <v>19</v>
      </c>
      <c r="D880" t="s">
        <v>8</v>
      </c>
      <c r="E880">
        <v>74</v>
      </c>
      <c r="F880" t="s">
        <v>223</v>
      </c>
      <c r="G880">
        <v>4.18</v>
      </c>
    </row>
    <row r="881" spans="1:7" hidden="1" outlineLevel="2" x14ac:dyDescent="0.3">
      <c r="A881">
        <v>709</v>
      </c>
      <c r="B881" t="s">
        <v>222</v>
      </c>
      <c r="C881">
        <v>19</v>
      </c>
      <c r="D881" t="s">
        <v>8</v>
      </c>
      <c r="E881">
        <v>75</v>
      </c>
      <c r="F881" t="s">
        <v>218</v>
      </c>
      <c r="G881">
        <v>2.42</v>
      </c>
    </row>
    <row r="882" spans="1:7" outlineLevel="1" collapsed="1" x14ac:dyDescent="0.3">
      <c r="B882" s="1" t="s">
        <v>1139</v>
      </c>
      <c r="D882" t="str">
        <f>D881</f>
        <v>Male</v>
      </c>
      <c r="G882">
        <f>SUBTOTAL(9,G880:G881)</f>
        <v>6.6</v>
      </c>
    </row>
    <row r="883" spans="1:7" hidden="1" outlineLevel="2" x14ac:dyDescent="0.3">
      <c r="A883">
        <v>592</v>
      </c>
      <c r="B883" t="s">
        <v>654</v>
      </c>
      <c r="C883">
        <v>22</v>
      </c>
      <c r="D883" t="s">
        <v>8</v>
      </c>
      <c r="E883">
        <v>170</v>
      </c>
      <c r="F883" t="s">
        <v>101</v>
      </c>
      <c r="G883">
        <v>3.97</v>
      </c>
    </row>
    <row r="884" spans="1:7" outlineLevel="1" collapsed="1" x14ac:dyDescent="0.3">
      <c r="B884" s="1" t="s">
        <v>1140</v>
      </c>
      <c r="D884" t="str">
        <f>D883</f>
        <v>Male</v>
      </c>
      <c r="G884">
        <f>SUBTOTAL(9,G883:G883)</f>
        <v>3.97</v>
      </c>
    </row>
    <row r="885" spans="1:7" hidden="1" outlineLevel="2" x14ac:dyDescent="0.3">
      <c r="A885">
        <v>411</v>
      </c>
      <c r="B885" t="s">
        <v>519</v>
      </c>
      <c r="C885">
        <v>10</v>
      </c>
      <c r="D885" t="s">
        <v>8</v>
      </c>
      <c r="E885">
        <v>101</v>
      </c>
      <c r="F885" t="s">
        <v>13</v>
      </c>
      <c r="G885">
        <v>4.1900000000000004</v>
      </c>
    </row>
    <row r="886" spans="1:7" outlineLevel="1" collapsed="1" x14ac:dyDescent="0.3">
      <c r="B886" s="1" t="s">
        <v>1141</v>
      </c>
      <c r="D886" t="str">
        <f>D885</f>
        <v>Male</v>
      </c>
      <c r="G886">
        <f>SUBTOTAL(9,G885:G885)</f>
        <v>4.1900000000000004</v>
      </c>
    </row>
    <row r="887" spans="1:7" hidden="1" outlineLevel="2" x14ac:dyDescent="0.3">
      <c r="A887">
        <v>712</v>
      </c>
      <c r="B887" t="s">
        <v>725</v>
      </c>
      <c r="C887">
        <v>25</v>
      </c>
      <c r="D887" t="s">
        <v>8</v>
      </c>
      <c r="E887">
        <v>92</v>
      </c>
      <c r="F887" t="s">
        <v>13</v>
      </c>
      <c r="G887">
        <v>4.88</v>
      </c>
    </row>
    <row r="888" spans="1:7" outlineLevel="1" collapsed="1" x14ac:dyDescent="0.3">
      <c r="B888" s="1" t="s">
        <v>1142</v>
      </c>
      <c r="D888" t="str">
        <f>D887</f>
        <v>Male</v>
      </c>
      <c r="G888">
        <f>SUBTOTAL(9,G887:G887)</f>
        <v>4.88</v>
      </c>
    </row>
    <row r="889" spans="1:7" hidden="1" outlineLevel="2" x14ac:dyDescent="0.3">
      <c r="A889">
        <v>527</v>
      </c>
      <c r="B889" t="s">
        <v>610</v>
      </c>
      <c r="C889">
        <v>24</v>
      </c>
      <c r="D889" t="s">
        <v>8</v>
      </c>
      <c r="E889">
        <v>102</v>
      </c>
      <c r="F889" t="s">
        <v>99</v>
      </c>
      <c r="G889">
        <v>3.44</v>
      </c>
    </row>
    <row r="890" spans="1:7" hidden="1" outlineLevel="2" x14ac:dyDescent="0.3">
      <c r="A890">
        <v>604</v>
      </c>
      <c r="B890" t="s">
        <v>610</v>
      </c>
      <c r="C890">
        <v>24</v>
      </c>
      <c r="D890" t="s">
        <v>8</v>
      </c>
      <c r="E890">
        <v>34</v>
      </c>
      <c r="F890" t="s">
        <v>132</v>
      </c>
      <c r="G890">
        <v>2.2200000000000002</v>
      </c>
    </row>
    <row r="891" spans="1:7" outlineLevel="1" collapsed="1" x14ac:dyDescent="0.3">
      <c r="B891" s="1" t="s">
        <v>1143</v>
      </c>
      <c r="D891" t="str">
        <f>D890</f>
        <v>Male</v>
      </c>
      <c r="G891">
        <f>SUBTOTAL(9,G889:G890)</f>
        <v>5.66</v>
      </c>
    </row>
    <row r="892" spans="1:7" hidden="1" outlineLevel="2" x14ac:dyDescent="0.3">
      <c r="A892">
        <v>0</v>
      </c>
      <c r="B892" t="s">
        <v>7</v>
      </c>
      <c r="C892">
        <v>20</v>
      </c>
      <c r="D892" t="s">
        <v>8</v>
      </c>
      <c r="E892">
        <v>108</v>
      </c>
      <c r="F892" t="s">
        <v>9</v>
      </c>
      <c r="G892">
        <v>3.53</v>
      </c>
    </row>
    <row r="893" spans="1:7" hidden="1" outlineLevel="2" x14ac:dyDescent="0.3">
      <c r="A893">
        <v>67</v>
      </c>
      <c r="B893" t="s">
        <v>7</v>
      </c>
      <c r="C893">
        <v>20</v>
      </c>
      <c r="D893" t="s">
        <v>8</v>
      </c>
      <c r="E893">
        <v>138</v>
      </c>
      <c r="F893" t="s">
        <v>103</v>
      </c>
      <c r="G893">
        <v>4.74</v>
      </c>
    </row>
    <row r="894" spans="1:7" hidden="1" outlineLevel="2" x14ac:dyDescent="0.3">
      <c r="A894">
        <v>245</v>
      </c>
      <c r="B894" t="s">
        <v>7</v>
      </c>
      <c r="C894">
        <v>20</v>
      </c>
      <c r="D894" t="s">
        <v>8</v>
      </c>
      <c r="E894">
        <v>85</v>
      </c>
      <c r="F894" t="s">
        <v>193</v>
      </c>
      <c r="G894">
        <v>1.75</v>
      </c>
    </row>
    <row r="895" spans="1:7" outlineLevel="1" collapsed="1" x14ac:dyDescent="0.3">
      <c r="B895" s="1" t="s">
        <v>1144</v>
      </c>
      <c r="D895" t="str">
        <f>D894</f>
        <v>Male</v>
      </c>
      <c r="G895">
        <f>SUBTOTAL(9,G892:G894)</f>
        <v>10.02</v>
      </c>
    </row>
    <row r="896" spans="1:7" hidden="1" outlineLevel="2" x14ac:dyDescent="0.3">
      <c r="A896">
        <v>412</v>
      </c>
      <c r="B896" t="s">
        <v>520</v>
      </c>
      <c r="C896">
        <v>32</v>
      </c>
      <c r="D896" t="s">
        <v>8</v>
      </c>
      <c r="E896">
        <v>86</v>
      </c>
      <c r="F896" t="s">
        <v>521</v>
      </c>
      <c r="G896">
        <v>2.27</v>
      </c>
    </row>
    <row r="897" spans="1:7" outlineLevel="1" collapsed="1" x14ac:dyDescent="0.3">
      <c r="B897" s="1" t="s">
        <v>1145</v>
      </c>
      <c r="D897" t="str">
        <f>D896</f>
        <v>Male</v>
      </c>
      <c r="G897">
        <f>SUBTOTAL(9,G896:G896)</f>
        <v>2.27</v>
      </c>
    </row>
    <row r="898" spans="1:7" hidden="1" outlineLevel="2" x14ac:dyDescent="0.3">
      <c r="A898">
        <v>16</v>
      </c>
      <c r="B898" t="s">
        <v>41</v>
      </c>
      <c r="C898">
        <v>20</v>
      </c>
      <c r="D898" t="s">
        <v>8</v>
      </c>
      <c r="E898">
        <v>40</v>
      </c>
      <c r="F898" t="s">
        <v>42</v>
      </c>
      <c r="G898">
        <v>2.52</v>
      </c>
    </row>
    <row r="899" spans="1:7" outlineLevel="1" collapsed="1" x14ac:dyDescent="0.3">
      <c r="B899" s="1" t="s">
        <v>1146</v>
      </c>
      <c r="D899" t="str">
        <f>D898</f>
        <v>Male</v>
      </c>
      <c r="G899">
        <f>SUBTOTAL(9,G898:G898)</f>
        <v>2.52</v>
      </c>
    </row>
    <row r="900" spans="1:7" hidden="1" outlineLevel="2" x14ac:dyDescent="0.3">
      <c r="A900">
        <v>25</v>
      </c>
      <c r="B900" t="s">
        <v>59</v>
      </c>
      <c r="C900">
        <v>29</v>
      </c>
      <c r="D900" t="s">
        <v>8</v>
      </c>
      <c r="E900">
        <v>178</v>
      </c>
      <c r="F900" t="s">
        <v>60</v>
      </c>
      <c r="G900">
        <v>4.2300000000000004</v>
      </c>
    </row>
    <row r="901" spans="1:7" outlineLevel="1" collapsed="1" x14ac:dyDescent="0.3">
      <c r="B901" s="1" t="s">
        <v>1147</v>
      </c>
      <c r="D901" t="str">
        <f>D900</f>
        <v>Male</v>
      </c>
      <c r="G901">
        <f>SUBTOTAL(9,G900:G900)</f>
        <v>4.2300000000000004</v>
      </c>
    </row>
    <row r="902" spans="1:7" hidden="1" outlineLevel="2" x14ac:dyDescent="0.3">
      <c r="A902">
        <v>122</v>
      </c>
      <c r="B902" t="s">
        <v>213</v>
      </c>
      <c r="C902">
        <v>16</v>
      </c>
      <c r="D902" t="s">
        <v>8</v>
      </c>
      <c r="E902">
        <v>174</v>
      </c>
      <c r="F902" t="s">
        <v>155</v>
      </c>
      <c r="G902">
        <v>3.47</v>
      </c>
    </row>
    <row r="903" spans="1:7" outlineLevel="1" collapsed="1" x14ac:dyDescent="0.3">
      <c r="B903" s="1" t="s">
        <v>1148</v>
      </c>
      <c r="D903" t="str">
        <f>D902</f>
        <v>Male</v>
      </c>
      <c r="G903">
        <f>SUBTOTAL(9,G902:G902)</f>
        <v>3.47</v>
      </c>
    </row>
    <row r="904" spans="1:7" hidden="1" outlineLevel="2" x14ac:dyDescent="0.3">
      <c r="A904">
        <v>238</v>
      </c>
      <c r="B904" t="s">
        <v>355</v>
      </c>
      <c r="C904">
        <v>21</v>
      </c>
      <c r="D904" t="s">
        <v>8</v>
      </c>
      <c r="E904">
        <v>42</v>
      </c>
      <c r="F904" t="s">
        <v>356</v>
      </c>
      <c r="G904">
        <v>1.75</v>
      </c>
    </row>
    <row r="905" spans="1:7" hidden="1" outlineLevel="2" x14ac:dyDescent="0.3">
      <c r="A905">
        <v>723</v>
      </c>
      <c r="B905" t="s">
        <v>355</v>
      </c>
      <c r="C905">
        <v>21</v>
      </c>
      <c r="D905" t="s">
        <v>8</v>
      </c>
      <c r="E905">
        <v>177</v>
      </c>
      <c r="F905" t="s">
        <v>728</v>
      </c>
      <c r="G905">
        <v>2.08</v>
      </c>
    </row>
    <row r="906" spans="1:7" outlineLevel="1" collapsed="1" x14ac:dyDescent="0.3">
      <c r="B906" s="1" t="s">
        <v>1149</v>
      </c>
      <c r="D906" t="str">
        <f>D905</f>
        <v>Male</v>
      </c>
      <c r="G906">
        <f>SUBTOTAL(9,G904:G905)</f>
        <v>3.83</v>
      </c>
    </row>
    <row r="907" spans="1:7" hidden="1" outlineLevel="2" x14ac:dyDescent="0.3">
      <c r="A907">
        <v>328</v>
      </c>
      <c r="B907" t="s">
        <v>443</v>
      </c>
      <c r="C907">
        <v>17</v>
      </c>
      <c r="D907" t="s">
        <v>8</v>
      </c>
      <c r="E907">
        <v>152</v>
      </c>
      <c r="F907" t="s">
        <v>121</v>
      </c>
      <c r="G907">
        <v>1.74</v>
      </c>
    </row>
    <row r="908" spans="1:7" outlineLevel="1" collapsed="1" x14ac:dyDescent="0.3">
      <c r="B908" s="1" t="s">
        <v>1150</v>
      </c>
      <c r="D908" t="str">
        <f>D907</f>
        <v>Male</v>
      </c>
      <c r="G908">
        <f>SUBTOTAL(9,G907:G907)</f>
        <v>1.74</v>
      </c>
    </row>
    <row r="909" spans="1:7" hidden="1" outlineLevel="2" x14ac:dyDescent="0.3">
      <c r="A909">
        <v>751</v>
      </c>
      <c r="B909" t="s">
        <v>751</v>
      </c>
      <c r="C909">
        <v>11</v>
      </c>
      <c r="D909" t="s">
        <v>8</v>
      </c>
      <c r="E909">
        <v>180</v>
      </c>
      <c r="F909" t="s">
        <v>267</v>
      </c>
      <c r="G909">
        <v>3.36</v>
      </c>
    </row>
    <row r="910" spans="1:7" outlineLevel="1" collapsed="1" x14ac:dyDescent="0.3">
      <c r="B910" s="1" t="s">
        <v>1151</v>
      </c>
      <c r="D910" t="str">
        <f>D909</f>
        <v>Male</v>
      </c>
      <c r="G910">
        <f>SUBTOTAL(9,G909:G909)</f>
        <v>3.36</v>
      </c>
    </row>
    <row r="911" spans="1:7" hidden="1" outlineLevel="2" x14ac:dyDescent="0.3">
      <c r="A911">
        <v>192</v>
      </c>
      <c r="B911" t="s">
        <v>305</v>
      </c>
      <c r="C911">
        <v>25</v>
      </c>
      <c r="D911" t="s">
        <v>8</v>
      </c>
      <c r="E911">
        <v>98</v>
      </c>
      <c r="F911" t="s">
        <v>40</v>
      </c>
      <c r="G911">
        <v>2.89</v>
      </c>
    </row>
    <row r="912" spans="1:7" outlineLevel="1" collapsed="1" x14ac:dyDescent="0.3">
      <c r="B912" s="1" t="s">
        <v>1152</v>
      </c>
      <c r="D912" t="str">
        <f>D911</f>
        <v>Male</v>
      </c>
      <c r="G912">
        <f>SUBTOTAL(9,G911:G911)</f>
        <v>2.89</v>
      </c>
    </row>
    <row r="913" spans="1:7" hidden="1" outlineLevel="2" x14ac:dyDescent="0.3">
      <c r="A913">
        <v>170</v>
      </c>
      <c r="B913" t="s">
        <v>272</v>
      </c>
      <c r="C913">
        <v>22</v>
      </c>
      <c r="D913" t="s">
        <v>8</v>
      </c>
      <c r="E913">
        <v>75</v>
      </c>
      <c r="F913" t="s">
        <v>218</v>
      </c>
      <c r="G913">
        <v>2.42</v>
      </c>
    </row>
    <row r="914" spans="1:7" hidden="1" outlineLevel="2" x14ac:dyDescent="0.3">
      <c r="A914">
        <v>293</v>
      </c>
      <c r="B914" t="s">
        <v>272</v>
      </c>
      <c r="C914">
        <v>22</v>
      </c>
      <c r="D914" t="s">
        <v>8</v>
      </c>
      <c r="E914">
        <v>117</v>
      </c>
      <c r="F914" t="s">
        <v>207</v>
      </c>
      <c r="G914">
        <v>1.79</v>
      </c>
    </row>
    <row r="915" spans="1:7" hidden="1" outlineLevel="2" x14ac:dyDescent="0.3">
      <c r="A915">
        <v>472</v>
      </c>
      <c r="B915" t="s">
        <v>272</v>
      </c>
      <c r="C915">
        <v>22</v>
      </c>
      <c r="D915" t="s">
        <v>8</v>
      </c>
      <c r="E915">
        <v>18</v>
      </c>
      <c r="F915" t="s">
        <v>385</v>
      </c>
      <c r="G915">
        <v>4.6500000000000004</v>
      </c>
    </row>
    <row r="916" spans="1:7" outlineLevel="1" collapsed="1" x14ac:dyDescent="0.3">
      <c r="B916" s="1" t="s">
        <v>1153</v>
      </c>
      <c r="D916" t="str">
        <f>D915</f>
        <v>Male</v>
      </c>
      <c r="G916">
        <f>SUBTOTAL(9,G913:G915)</f>
        <v>8.86</v>
      </c>
    </row>
    <row r="917" spans="1:7" hidden="1" outlineLevel="2" x14ac:dyDescent="0.3">
      <c r="A917">
        <v>334</v>
      </c>
      <c r="B917" t="s">
        <v>449</v>
      </c>
      <c r="C917">
        <v>21</v>
      </c>
      <c r="D917" t="s">
        <v>8</v>
      </c>
      <c r="E917">
        <v>11</v>
      </c>
      <c r="F917" t="s">
        <v>298</v>
      </c>
      <c r="G917">
        <v>3.65</v>
      </c>
    </row>
    <row r="918" spans="1:7" outlineLevel="1" collapsed="1" x14ac:dyDescent="0.3">
      <c r="B918" s="1" t="s">
        <v>1154</v>
      </c>
      <c r="D918" t="str">
        <f>D917</f>
        <v>Male</v>
      </c>
      <c r="G918">
        <f>SUBTOTAL(9,G917:G917)</f>
        <v>3.65</v>
      </c>
    </row>
    <row r="919" spans="1:7" hidden="1" outlineLevel="2" x14ac:dyDescent="0.3">
      <c r="A919">
        <v>74</v>
      </c>
      <c r="B919" t="s">
        <v>144</v>
      </c>
      <c r="C919">
        <v>25</v>
      </c>
      <c r="D919" t="s">
        <v>8</v>
      </c>
      <c r="E919">
        <v>89</v>
      </c>
      <c r="F919" t="s">
        <v>48</v>
      </c>
      <c r="G919">
        <v>4.6399999999999997</v>
      </c>
    </row>
    <row r="920" spans="1:7" hidden="1" outlineLevel="2" x14ac:dyDescent="0.3">
      <c r="A920">
        <v>120</v>
      </c>
      <c r="B920" t="s">
        <v>144</v>
      </c>
      <c r="C920">
        <v>25</v>
      </c>
      <c r="D920" t="s">
        <v>8</v>
      </c>
      <c r="E920">
        <v>24</v>
      </c>
      <c r="F920" t="s">
        <v>54</v>
      </c>
      <c r="G920">
        <v>3.81</v>
      </c>
    </row>
    <row r="921" spans="1:7" hidden="1" outlineLevel="2" x14ac:dyDescent="0.3">
      <c r="A921">
        <v>224</v>
      </c>
      <c r="B921" t="s">
        <v>144</v>
      </c>
      <c r="C921">
        <v>25</v>
      </c>
      <c r="D921" t="s">
        <v>8</v>
      </c>
      <c r="E921">
        <v>157</v>
      </c>
      <c r="F921" t="s">
        <v>269</v>
      </c>
      <c r="G921">
        <v>4.8</v>
      </c>
    </row>
    <row r="922" spans="1:7" hidden="1" outlineLevel="2" x14ac:dyDescent="0.3">
      <c r="A922">
        <v>603</v>
      </c>
      <c r="B922" t="s">
        <v>144</v>
      </c>
      <c r="C922">
        <v>25</v>
      </c>
      <c r="D922" t="s">
        <v>8</v>
      </c>
      <c r="E922">
        <v>141</v>
      </c>
      <c r="F922" t="s">
        <v>58</v>
      </c>
      <c r="G922">
        <v>3.19</v>
      </c>
    </row>
    <row r="923" spans="1:7" hidden="1" outlineLevel="2" x14ac:dyDescent="0.3">
      <c r="A923">
        <v>609</v>
      </c>
      <c r="B923" t="s">
        <v>144</v>
      </c>
      <c r="C923">
        <v>25</v>
      </c>
      <c r="D923" t="s">
        <v>8</v>
      </c>
      <c r="E923">
        <v>40</v>
      </c>
      <c r="F923" t="s">
        <v>42</v>
      </c>
      <c r="G923">
        <v>2.52</v>
      </c>
    </row>
    <row r="924" spans="1:7" outlineLevel="1" collapsed="1" x14ac:dyDescent="0.3">
      <c r="B924" s="1" t="s">
        <v>1155</v>
      </c>
      <c r="D924" t="str">
        <f>D923</f>
        <v>Male</v>
      </c>
      <c r="G924">
        <f>SUBTOTAL(9,G919:G923)</f>
        <v>18.96</v>
      </c>
    </row>
    <row r="925" spans="1:7" hidden="1" outlineLevel="2" x14ac:dyDescent="0.3">
      <c r="A925">
        <v>338</v>
      </c>
      <c r="B925" t="s">
        <v>455</v>
      </c>
      <c r="C925">
        <v>22</v>
      </c>
      <c r="D925" t="s">
        <v>8</v>
      </c>
      <c r="E925">
        <v>13</v>
      </c>
      <c r="F925" t="s">
        <v>204</v>
      </c>
      <c r="G925">
        <v>1.41</v>
      </c>
    </row>
    <row r="926" spans="1:7" hidden="1" outlineLevel="2" x14ac:dyDescent="0.3">
      <c r="A926">
        <v>710</v>
      </c>
      <c r="B926" t="s">
        <v>455</v>
      </c>
      <c r="C926">
        <v>22</v>
      </c>
      <c r="D926" t="s">
        <v>8</v>
      </c>
      <c r="E926">
        <v>99</v>
      </c>
      <c r="F926" t="s">
        <v>191</v>
      </c>
      <c r="G926">
        <v>1.71</v>
      </c>
    </row>
    <row r="927" spans="1:7" outlineLevel="1" collapsed="1" x14ac:dyDescent="0.3">
      <c r="B927" s="1" t="s">
        <v>1156</v>
      </c>
      <c r="D927" t="str">
        <f>D926</f>
        <v>Male</v>
      </c>
      <c r="G927">
        <f>SUBTOTAL(9,G925:G926)</f>
        <v>3.12</v>
      </c>
    </row>
    <row r="928" spans="1:7" hidden="1" outlineLevel="2" x14ac:dyDescent="0.3">
      <c r="A928">
        <v>326</v>
      </c>
      <c r="B928" t="s">
        <v>441</v>
      </c>
      <c r="C928">
        <v>25</v>
      </c>
      <c r="D928" t="s">
        <v>8</v>
      </c>
      <c r="E928">
        <v>54</v>
      </c>
      <c r="F928" t="s">
        <v>189</v>
      </c>
      <c r="G928">
        <v>2.5</v>
      </c>
    </row>
    <row r="929" spans="1:7" outlineLevel="1" collapsed="1" x14ac:dyDescent="0.3">
      <c r="B929" s="1" t="s">
        <v>1157</v>
      </c>
      <c r="D929" t="str">
        <f>D928</f>
        <v>Male</v>
      </c>
      <c r="G929">
        <f>SUBTOTAL(9,G928:G928)</f>
        <v>2.5</v>
      </c>
    </row>
    <row r="930" spans="1:7" hidden="1" outlineLevel="2" x14ac:dyDescent="0.3">
      <c r="A930">
        <v>455</v>
      </c>
      <c r="B930" t="s">
        <v>555</v>
      </c>
      <c r="C930">
        <v>20</v>
      </c>
      <c r="D930" t="s">
        <v>8</v>
      </c>
      <c r="E930">
        <v>103</v>
      </c>
      <c r="F930" t="s">
        <v>280</v>
      </c>
      <c r="G930">
        <v>4.3499999999999996</v>
      </c>
    </row>
    <row r="931" spans="1:7" outlineLevel="1" collapsed="1" x14ac:dyDescent="0.3">
      <c r="B931" s="1" t="s">
        <v>1158</v>
      </c>
      <c r="D931" t="str">
        <f>D930</f>
        <v>Male</v>
      </c>
      <c r="G931">
        <f>SUBTOTAL(9,G930:G930)</f>
        <v>4.3499999999999996</v>
      </c>
    </row>
    <row r="932" spans="1:7" hidden="1" outlineLevel="2" x14ac:dyDescent="0.3">
      <c r="A932">
        <v>127</v>
      </c>
      <c r="B932" t="s">
        <v>219</v>
      </c>
      <c r="C932">
        <v>37</v>
      </c>
      <c r="D932" t="s">
        <v>8</v>
      </c>
      <c r="E932">
        <v>102</v>
      </c>
      <c r="F932" t="s">
        <v>99</v>
      </c>
      <c r="G932">
        <v>3.44</v>
      </c>
    </row>
    <row r="933" spans="1:7" outlineLevel="1" collapsed="1" x14ac:dyDescent="0.3">
      <c r="B933" s="1" t="s">
        <v>1159</v>
      </c>
      <c r="D933" t="str">
        <f>D932</f>
        <v>Male</v>
      </c>
      <c r="G933">
        <f>SUBTOTAL(9,G932:G932)</f>
        <v>3.44</v>
      </c>
    </row>
    <row r="934" spans="1:7" hidden="1" outlineLevel="2" x14ac:dyDescent="0.3">
      <c r="A934">
        <v>1</v>
      </c>
      <c r="B934" t="s">
        <v>10</v>
      </c>
      <c r="C934">
        <v>40</v>
      </c>
      <c r="D934" t="s">
        <v>8</v>
      </c>
      <c r="E934">
        <v>143</v>
      </c>
      <c r="F934" t="s">
        <v>11</v>
      </c>
      <c r="G934">
        <v>1.56</v>
      </c>
    </row>
    <row r="935" spans="1:7" outlineLevel="1" collapsed="1" x14ac:dyDescent="0.3">
      <c r="B935" s="1" t="s">
        <v>1160</v>
      </c>
      <c r="D935" t="str">
        <f>D934</f>
        <v>Male</v>
      </c>
      <c r="G935">
        <f>SUBTOTAL(9,G934:G934)</f>
        <v>1.56</v>
      </c>
    </row>
    <row r="936" spans="1:7" hidden="1" outlineLevel="2" x14ac:dyDescent="0.3">
      <c r="A936">
        <v>547</v>
      </c>
      <c r="B936" t="s">
        <v>625</v>
      </c>
      <c r="C936">
        <v>18</v>
      </c>
      <c r="D936" t="s">
        <v>8</v>
      </c>
      <c r="E936">
        <v>135</v>
      </c>
      <c r="F936" t="s">
        <v>283</v>
      </c>
      <c r="G936">
        <v>1.4</v>
      </c>
    </row>
    <row r="937" spans="1:7" outlineLevel="1" collapsed="1" x14ac:dyDescent="0.3">
      <c r="B937" s="1" t="s">
        <v>1161</v>
      </c>
      <c r="D937" t="str">
        <f>D936</f>
        <v>Male</v>
      </c>
      <c r="G937">
        <f>SUBTOTAL(9,G936:G936)</f>
        <v>1.4</v>
      </c>
    </row>
    <row r="938" spans="1:7" hidden="1" outlineLevel="2" x14ac:dyDescent="0.3">
      <c r="A938">
        <v>362</v>
      </c>
      <c r="B938" t="s">
        <v>478</v>
      </c>
      <c r="C938">
        <v>22</v>
      </c>
      <c r="D938" t="s">
        <v>8</v>
      </c>
      <c r="E938">
        <v>107</v>
      </c>
      <c r="F938" t="s">
        <v>352</v>
      </c>
      <c r="G938">
        <v>2.1800000000000002</v>
      </c>
    </row>
    <row r="939" spans="1:7" outlineLevel="1" collapsed="1" x14ac:dyDescent="0.3">
      <c r="B939" s="1" t="s">
        <v>1162</v>
      </c>
      <c r="D939" t="str">
        <f>D938</f>
        <v>Male</v>
      </c>
      <c r="G939">
        <f>SUBTOTAL(9,G938:G938)</f>
        <v>2.1800000000000002</v>
      </c>
    </row>
    <row r="940" spans="1:7" hidden="1" outlineLevel="2" x14ac:dyDescent="0.3">
      <c r="A940">
        <v>488</v>
      </c>
      <c r="B940" t="s">
        <v>583</v>
      </c>
      <c r="C940">
        <v>23</v>
      </c>
      <c r="D940" t="s">
        <v>8</v>
      </c>
      <c r="E940">
        <v>44</v>
      </c>
      <c r="F940" t="s">
        <v>76</v>
      </c>
      <c r="G940">
        <v>2.38</v>
      </c>
    </row>
    <row r="941" spans="1:7" outlineLevel="1" collapsed="1" x14ac:dyDescent="0.3">
      <c r="B941" s="1" t="s">
        <v>1163</v>
      </c>
      <c r="D941" t="str">
        <f>D940</f>
        <v>Male</v>
      </c>
      <c r="G941">
        <f>SUBTOTAL(9,G940:G940)</f>
        <v>2.38</v>
      </c>
    </row>
    <row r="942" spans="1:7" hidden="1" outlineLevel="2" x14ac:dyDescent="0.3">
      <c r="A942">
        <v>188</v>
      </c>
      <c r="B942" t="s">
        <v>299</v>
      </c>
      <c r="C942">
        <v>18</v>
      </c>
      <c r="D942" t="s">
        <v>8</v>
      </c>
      <c r="E942">
        <v>88</v>
      </c>
      <c r="F942" t="s">
        <v>148</v>
      </c>
      <c r="G942">
        <v>3.75</v>
      </c>
    </row>
    <row r="943" spans="1:7" hidden="1" outlineLevel="2" x14ac:dyDescent="0.3">
      <c r="A943">
        <v>725</v>
      </c>
      <c r="B943" t="s">
        <v>299</v>
      </c>
      <c r="C943">
        <v>18</v>
      </c>
      <c r="D943" t="s">
        <v>8</v>
      </c>
      <c r="E943">
        <v>72</v>
      </c>
      <c r="F943" t="s">
        <v>92</v>
      </c>
      <c r="G943">
        <v>3.77</v>
      </c>
    </row>
    <row r="944" spans="1:7" outlineLevel="1" collapsed="1" x14ac:dyDescent="0.3">
      <c r="B944" s="1" t="s">
        <v>1164</v>
      </c>
      <c r="D944" t="str">
        <f>D943</f>
        <v>Male</v>
      </c>
      <c r="G944">
        <f>SUBTOTAL(9,G942:G943)</f>
        <v>7.52</v>
      </c>
    </row>
    <row r="945" spans="1:7" hidden="1" outlineLevel="2" x14ac:dyDescent="0.3">
      <c r="A945">
        <v>707</v>
      </c>
      <c r="B945" t="s">
        <v>724</v>
      </c>
      <c r="C945">
        <v>20</v>
      </c>
      <c r="D945" t="s">
        <v>8</v>
      </c>
      <c r="E945">
        <v>38</v>
      </c>
      <c r="F945" t="s">
        <v>425</v>
      </c>
      <c r="G945">
        <v>2.37</v>
      </c>
    </row>
    <row r="946" spans="1:7" outlineLevel="1" collapsed="1" x14ac:dyDescent="0.3">
      <c r="B946" s="1" t="s">
        <v>1165</v>
      </c>
      <c r="D946" t="str">
        <f>D945</f>
        <v>Male</v>
      </c>
      <c r="G946">
        <f>SUBTOTAL(9,G945:G945)</f>
        <v>2.37</v>
      </c>
    </row>
    <row r="947" spans="1:7" hidden="1" outlineLevel="2" x14ac:dyDescent="0.3">
      <c r="A947">
        <v>476</v>
      </c>
      <c r="B947" t="s">
        <v>575</v>
      </c>
      <c r="C947">
        <v>21</v>
      </c>
      <c r="D947" t="s">
        <v>8</v>
      </c>
      <c r="E947">
        <v>103</v>
      </c>
      <c r="F947" t="s">
        <v>280</v>
      </c>
      <c r="G947">
        <v>4.3499999999999996</v>
      </c>
    </row>
    <row r="948" spans="1:7" outlineLevel="1" collapsed="1" x14ac:dyDescent="0.3">
      <c r="B948" s="1" t="s">
        <v>1166</v>
      </c>
      <c r="D948" t="str">
        <f>D947</f>
        <v>Male</v>
      </c>
      <c r="G948">
        <f>SUBTOTAL(9,G947:G947)</f>
        <v>4.3499999999999996</v>
      </c>
    </row>
    <row r="949" spans="1:7" hidden="1" outlineLevel="2" x14ac:dyDescent="0.3">
      <c r="A949">
        <v>130</v>
      </c>
      <c r="B949" t="s">
        <v>224</v>
      </c>
      <c r="C949">
        <v>25</v>
      </c>
      <c r="D949" t="s">
        <v>8</v>
      </c>
      <c r="E949">
        <v>120</v>
      </c>
      <c r="F949" t="s">
        <v>225</v>
      </c>
      <c r="G949">
        <v>3.08</v>
      </c>
    </row>
    <row r="950" spans="1:7" outlineLevel="1" collapsed="1" x14ac:dyDescent="0.3">
      <c r="B950" s="1" t="s">
        <v>1167</v>
      </c>
      <c r="D950" t="str">
        <f>D949</f>
        <v>Male</v>
      </c>
      <c r="G950">
        <f>SUBTOTAL(9,G949:G949)</f>
        <v>3.08</v>
      </c>
    </row>
    <row r="951" spans="1:7" hidden="1" outlineLevel="2" x14ac:dyDescent="0.3">
      <c r="A951">
        <v>151</v>
      </c>
      <c r="B951" t="s">
        <v>249</v>
      </c>
      <c r="C951">
        <v>25</v>
      </c>
      <c r="D951" t="s">
        <v>8</v>
      </c>
      <c r="E951">
        <v>105</v>
      </c>
      <c r="F951" t="s">
        <v>123</v>
      </c>
      <c r="G951">
        <v>3.03</v>
      </c>
    </row>
    <row r="952" spans="1:7" outlineLevel="1" collapsed="1" x14ac:dyDescent="0.3">
      <c r="B952" s="1" t="s">
        <v>1168</v>
      </c>
      <c r="D952" t="str">
        <f>D951</f>
        <v>Male</v>
      </c>
      <c r="G952">
        <f>SUBTOTAL(9,G951:G951)</f>
        <v>3.03</v>
      </c>
    </row>
    <row r="953" spans="1:7" hidden="1" outlineLevel="2" x14ac:dyDescent="0.3">
      <c r="A953">
        <v>399</v>
      </c>
      <c r="B953" t="s">
        <v>512</v>
      </c>
      <c r="C953">
        <v>19</v>
      </c>
      <c r="D953" t="s">
        <v>8</v>
      </c>
      <c r="E953">
        <v>143</v>
      </c>
      <c r="F953" t="s">
        <v>11</v>
      </c>
      <c r="G953">
        <v>1.56</v>
      </c>
    </row>
    <row r="954" spans="1:7" hidden="1" outlineLevel="2" x14ac:dyDescent="0.3">
      <c r="A954">
        <v>452</v>
      </c>
      <c r="B954" t="s">
        <v>512</v>
      </c>
      <c r="C954">
        <v>19</v>
      </c>
      <c r="D954" t="s">
        <v>8</v>
      </c>
      <c r="E954">
        <v>32</v>
      </c>
      <c r="F954" t="s">
        <v>293</v>
      </c>
      <c r="G954">
        <v>1.1399999999999999</v>
      </c>
    </row>
    <row r="955" spans="1:7" outlineLevel="1" collapsed="1" x14ac:dyDescent="0.3">
      <c r="B955" s="1" t="s">
        <v>1169</v>
      </c>
      <c r="D955" t="str">
        <f>D954</f>
        <v>Male</v>
      </c>
      <c r="G955">
        <f>SUBTOTAL(9,G953:G954)</f>
        <v>2.7</v>
      </c>
    </row>
    <row r="956" spans="1:7" hidden="1" outlineLevel="2" x14ac:dyDescent="0.3">
      <c r="A956">
        <v>181</v>
      </c>
      <c r="B956" t="s">
        <v>287</v>
      </c>
      <c r="C956">
        <v>16</v>
      </c>
      <c r="D956" t="s">
        <v>8</v>
      </c>
      <c r="E956">
        <v>51</v>
      </c>
      <c r="F956" t="s">
        <v>288</v>
      </c>
      <c r="G956">
        <v>4.66</v>
      </c>
    </row>
    <row r="957" spans="1:7" outlineLevel="1" collapsed="1" x14ac:dyDescent="0.3">
      <c r="B957" s="1" t="s">
        <v>1170</v>
      </c>
      <c r="D957" t="str">
        <f>D956</f>
        <v>Male</v>
      </c>
      <c r="G957">
        <f>SUBTOTAL(9,G956:G956)</f>
        <v>4.66</v>
      </c>
    </row>
    <row r="958" spans="1:7" hidden="1" outlineLevel="2" x14ac:dyDescent="0.3">
      <c r="A958">
        <v>152</v>
      </c>
      <c r="B958" t="s">
        <v>250</v>
      </c>
      <c r="C958">
        <v>20</v>
      </c>
      <c r="D958" t="s">
        <v>8</v>
      </c>
      <c r="E958">
        <v>110</v>
      </c>
      <c r="F958" t="s">
        <v>105</v>
      </c>
      <c r="G958">
        <v>1.44</v>
      </c>
    </row>
    <row r="959" spans="1:7" outlineLevel="1" collapsed="1" x14ac:dyDescent="0.3">
      <c r="B959" s="1" t="s">
        <v>1171</v>
      </c>
      <c r="D959" t="str">
        <f>D958</f>
        <v>Male</v>
      </c>
      <c r="G959">
        <f>SUBTOTAL(9,G958:G958)</f>
        <v>1.44</v>
      </c>
    </row>
    <row r="960" spans="1:7" hidden="1" outlineLevel="2" x14ac:dyDescent="0.3">
      <c r="A960">
        <v>414</v>
      </c>
      <c r="B960" t="s">
        <v>524</v>
      </c>
      <c r="C960">
        <v>23</v>
      </c>
      <c r="D960" t="s">
        <v>8</v>
      </c>
      <c r="E960">
        <v>108</v>
      </c>
      <c r="F960" t="s">
        <v>9</v>
      </c>
      <c r="G960">
        <v>3.53</v>
      </c>
    </row>
    <row r="961" spans="1:7" outlineLevel="1" collapsed="1" x14ac:dyDescent="0.3">
      <c r="B961" s="1" t="s">
        <v>1172</v>
      </c>
      <c r="D961" t="str">
        <f>D960</f>
        <v>Male</v>
      </c>
      <c r="G961">
        <f>SUBTOTAL(9,G960:G960)</f>
        <v>3.53</v>
      </c>
    </row>
    <row r="962" spans="1:7" hidden="1" outlineLevel="2" x14ac:dyDescent="0.3">
      <c r="A962">
        <v>102</v>
      </c>
      <c r="B962" t="s">
        <v>182</v>
      </c>
      <c r="C962">
        <v>24</v>
      </c>
      <c r="D962" t="s">
        <v>8</v>
      </c>
      <c r="E962">
        <v>109</v>
      </c>
      <c r="F962" t="s">
        <v>183</v>
      </c>
      <c r="G962">
        <v>4.76</v>
      </c>
    </row>
    <row r="963" spans="1:7" outlineLevel="1" collapsed="1" x14ac:dyDescent="0.3">
      <c r="B963" s="1" t="s">
        <v>1173</v>
      </c>
      <c r="D963" t="str">
        <f>D962</f>
        <v>Male</v>
      </c>
      <c r="G963">
        <f>SUBTOTAL(9,G962:G962)</f>
        <v>4.76</v>
      </c>
    </row>
    <row r="964" spans="1:7" hidden="1" outlineLevel="2" x14ac:dyDescent="0.3">
      <c r="A964">
        <v>491</v>
      </c>
      <c r="B964" t="s">
        <v>585</v>
      </c>
      <c r="C964">
        <v>22</v>
      </c>
      <c r="D964" t="s">
        <v>8</v>
      </c>
      <c r="E964">
        <v>22</v>
      </c>
      <c r="F964" t="s">
        <v>106</v>
      </c>
      <c r="G964">
        <v>2.1800000000000002</v>
      </c>
    </row>
    <row r="965" spans="1:7" outlineLevel="1" collapsed="1" x14ac:dyDescent="0.3">
      <c r="B965" s="1" t="s">
        <v>1174</v>
      </c>
      <c r="D965" t="str">
        <f>D964</f>
        <v>Male</v>
      </c>
      <c r="G965">
        <f>SUBTOTAL(9,G964:G964)</f>
        <v>2.1800000000000002</v>
      </c>
    </row>
    <row r="966" spans="1:7" hidden="1" outlineLevel="2" x14ac:dyDescent="0.3">
      <c r="A966">
        <v>737</v>
      </c>
      <c r="B966" t="s">
        <v>741</v>
      </c>
      <c r="C966">
        <v>22</v>
      </c>
      <c r="D966" t="s">
        <v>8</v>
      </c>
      <c r="E966">
        <v>149</v>
      </c>
      <c r="F966" t="s">
        <v>320</v>
      </c>
      <c r="G966">
        <v>1.75</v>
      </c>
    </row>
    <row r="967" spans="1:7" outlineLevel="1" collapsed="1" x14ac:dyDescent="0.3">
      <c r="B967" s="1" t="s">
        <v>1175</v>
      </c>
      <c r="D967" t="str">
        <f>D966</f>
        <v>Male</v>
      </c>
      <c r="G967">
        <f>SUBTOTAL(9,G966:G966)</f>
        <v>1.75</v>
      </c>
    </row>
    <row r="968" spans="1:7" hidden="1" outlineLevel="2" x14ac:dyDescent="0.3">
      <c r="A968">
        <v>562</v>
      </c>
      <c r="B968" t="s">
        <v>633</v>
      </c>
      <c r="C968">
        <v>30</v>
      </c>
      <c r="D968" t="s">
        <v>8</v>
      </c>
      <c r="E968">
        <v>83</v>
      </c>
      <c r="F968" t="s">
        <v>363</v>
      </c>
      <c r="G968">
        <v>3.33</v>
      </c>
    </row>
    <row r="969" spans="1:7" hidden="1" outlineLevel="2" x14ac:dyDescent="0.3">
      <c r="A969">
        <v>624</v>
      </c>
      <c r="B969" t="s">
        <v>633</v>
      </c>
      <c r="C969">
        <v>30</v>
      </c>
      <c r="D969" t="s">
        <v>8</v>
      </c>
      <c r="E969">
        <v>29</v>
      </c>
      <c r="F969" t="s">
        <v>140</v>
      </c>
      <c r="G969">
        <v>1.98</v>
      </c>
    </row>
    <row r="970" spans="1:7" outlineLevel="1" collapsed="1" x14ac:dyDescent="0.3">
      <c r="B970" s="1" t="s">
        <v>1176</v>
      </c>
      <c r="D970" t="str">
        <f>D969</f>
        <v>Male</v>
      </c>
      <c r="G970">
        <f>SUBTOTAL(9,G968:G969)</f>
        <v>5.3100000000000005</v>
      </c>
    </row>
    <row r="971" spans="1:7" hidden="1" outlineLevel="2" x14ac:dyDescent="0.3">
      <c r="A971">
        <v>522</v>
      </c>
      <c r="B971" t="s">
        <v>606</v>
      </c>
      <c r="C971">
        <v>18</v>
      </c>
      <c r="D971" t="s">
        <v>8</v>
      </c>
      <c r="E971">
        <v>82</v>
      </c>
      <c r="F971" t="s">
        <v>46</v>
      </c>
      <c r="G971">
        <v>4.9000000000000004</v>
      </c>
    </row>
    <row r="972" spans="1:7" outlineLevel="1" collapsed="1" x14ac:dyDescent="0.3">
      <c r="B972" s="1" t="s">
        <v>1177</v>
      </c>
      <c r="D972" t="str">
        <f>D971</f>
        <v>Male</v>
      </c>
      <c r="G972">
        <f>SUBTOTAL(9,G971:G971)</f>
        <v>4.9000000000000004</v>
      </c>
    </row>
    <row r="973" spans="1:7" hidden="1" outlineLevel="2" x14ac:dyDescent="0.3">
      <c r="A973">
        <v>669</v>
      </c>
      <c r="B973" t="s">
        <v>701</v>
      </c>
      <c r="C973">
        <v>22</v>
      </c>
      <c r="D973" t="s">
        <v>8</v>
      </c>
      <c r="E973">
        <v>45</v>
      </c>
      <c r="F973" t="s">
        <v>453</v>
      </c>
      <c r="G973">
        <v>3.85</v>
      </c>
    </row>
    <row r="974" spans="1:7" hidden="1" outlineLevel="2" x14ac:dyDescent="0.3">
      <c r="A974">
        <v>694</v>
      </c>
      <c r="B974" t="s">
        <v>701</v>
      </c>
      <c r="C974">
        <v>22</v>
      </c>
      <c r="D974" t="s">
        <v>8</v>
      </c>
      <c r="E974">
        <v>164</v>
      </c>
      <c r="F974" t="s">
        <v>175</v>
      </c>
      <c r="G974">
        <v>1.63</v>
      </c>
    </row>
    <row r="975" spans="1:7" outlineLevel="1" collapsed="1" x14ac:dyDescent="0.3">
      <c r="B975" s="1" t="s">
        <v>1178</v>
      </c>
      <c r="D975" t="str">
        <f>D974</f>
        <v>Male</v>
      </c>
      <c r="G975">
        <f>SUBTOTAL(9,G973:G974)</f>
        <v>5.48</v>
      </c>
    </row>
    <row r="976" spans="1:7" hidden="1" outlineLevel="2" x14ac:dyDescent="0.3">
      <c r="A976">
        <v>197</v>
      </c>
      <c r="B976" t="s">
        <v>311</v>
      </c>
      <c r="C976">
        <v>24</v>
      </c>
      <c r="D976" t="s">
        <v>8</v>
      </c>
      <c r="E976">
        <v>37</v>
      </c>
      <c r="F976" t="s">
        <v>68</v>
      </c>
      <c r="G976">
        <v>3.16</v>
      </c>
    </row>
    <row r="977" spans="1:7" outlineLevel="1" collapsed="1" x14ac:dyDescent="0.3">
      <c r="B977" s="1" t="s">
        <v>1179</v>
      </c>
      <c r="D977" t="str">
        <f>D976</f>
        <v>Male</v>
      </c>
      <c r="G977">
        <f>SUBTOTAL(9,G976:G976)</f>
        <v>3.16</v>
      </c>
    </row>
    <row r="978" spans="1:7" hidden="1" outlineLevel="2" x14ac:dyDescent="0.3">
      <c r="A978">
        <v>662</v>
      </c>
      <c r="B978" t="s">
        <v>693</v>
      </c>
      <c r="C978">
        <v>21</v>
      </c>
      <c r="D978" t="s">
        <v>8</v>
      </c>
      <c r="E978">
        <v>0</v>
      </c>
      <c r="F978" t="s">
        <v>228</v>
      </c>
      <c r="G978">
        <v>1.28</v>
      </c>
    </row>
    <row r="979" spans="1:7" outlineLevel="1" collapsed="1" x14ac:dyDescent="0.3">
      <c r="B979" s="1" t="s">
        <v>1180</v>
      </c>
      <c r="D979" t="str">
        <f>D978</f>
        <v>Male</v>
      </c>
      <c r="G979">
        <f>SUBTOTAL(9,G978:G978)</f>
        <v>1.28</v>
      </c>
    </row>
    <row r="980" spans="1:7" hidden="1" outlineLevel="2" x14ac:dyDescent="0.3">
      <c r="A980">
        <v>646</v>
      </c>
      <c r="B980" t="s">
        <v>684</v>
      </c>
      <c r="C980">
        <v>23</v>
      </c>
      <c r="D980" t="s">
        <v>8</v>
      </c>
      <c r="E980">
        <v>116</v>
      </c>
      <c r="F980" t="s">
        <v>33</v>
      </c>
      <c r="G980">
        <v>4.18</v>
      </c>
    </row>
    <row r="981" spans="1:7" outlineLevel="1" collapsed="1" x14ac:dyDescent="0.3">
      <c r="B981" s="1" t="s">
        <v>1181</v>
      </c>
      <c r="D981" t="str">
        <f>D980</f>
        <v>Male</v>
      </c>
      <c r="G981">
        <f>SUBTOTAL(9,G980:G980)</f>
        <v>4.18</v>
      </c>
    </row>
    <row r="982" spans="1:7" hidden="1" outlineLevel="2" x14ac:dyDescent="0.3">
      <c r="A982">
        <v>739</v>
      </c>
      <c r="B982" t="s">
        <v>743</v>
      </c>
      <c r="C982">
        <v>35</v>
      </c>
      <c r="D982" t="s">
        <v>8</v>
      </c>
      <c r="E982">
        <v>61</v>
      </c>
      <c r="F982" t="s">
        <v>557</v>
      </c>
      <c r="G982">
        <v>3.87</v>
      </c>
    </row>
    <row r="983" spans="1:7" outlineLevel="1" collapsed="1" x14ac:dyDescent="0.3">
      <c r="B983" s="1" t="s">
        <v>1182</v>
      </c>
      <c r="D983" t="str">
        <f>D982</f>
        <v>Male</v>
      </c>
      <c r="G983">
        <f>SUBTOTAL(9,G982:G982)</f>
        <v>3.87</v>
      </c>
    </row>
    <row r="984" spans="1:7" hidden="1" outlineLevel="2" x14ac:dyDescent="0.3">
      <c r="A984">
        <v>179</v>
      </c>
      <c r="B984" t="s">
        <v>285</v>
      </c>
      <c r="C984">
        <v>24</v>
      </c>
      <c r="D984" t="s">
        <v>8</v>
      </c>
      <c r="E984">
        <v>59</v>
      </c>
      <c r="F984" t="s">
        <v>169</v>
      </c>
      <c r="G984">
        <v>4.2300000000000004</v>
      </c>
    </row>
    <row r="985" spans="1:7" outlineLevel="1" collapsed="1" x14ac:dyDescent="0.3">
      <c r="B985" s="1" t="s">
        <v>1183</v>
      </c>
      <c r="D985" t="str">
        <f>D984</f>
        <v>Male</v>
      </c>
      <c r="G985">
        <f>SUBTOTAL(9,G984:G984)</f>
        <v>4.2300000000000004</v>
      </c>
    </row>
    <row r="986" spans="1:7" hidden="1" outlineLevel="2" x14ac:dyDescent="0.3">
      <c r="A986">
        <v>752</v>
      </c>
      <c r="B986" t="s">
        <v>752</v>
      </c>
      <c r="C986">
        <v>17</v>
      </c>
      <c r="D986" t="s">
        <v>8</v>
      </c>
      <c r="E986">
        <v>112</v>
      </c>
      <c r="F986" t="s">
        <v>566</v>
      </c>
      <c r="G986">
        <v>2.6</v>
      </c>
    </row>
    <row r="987" spans="1:7" outlineLevel="1" collapsed="1" x14ac:dyDescent="0.3">
      <c r="B987" s="1" t="s">
        <v>1184</v>
      </c>
      <c r="D987" t="str">
        <f>D986</f>
        <v>Male</v>
      </c>
      <c r="G987">
        <f>SUBTOTAL(9,G986:G986)</f>
        <v>2.6</v>
      </c>
    </row>
    <row r="988" spans="1:7" hidden="1" outlineLevel="2" x14ac:dyDescent="0.3">
      <c r="A988">
        <v>477</v>
      </c>
      <c r="B988" t="s">
        <v>576</v>
      </c>
      <c r="C988">
        <v>41</v>
      </c>
      <c r="D988" t="s">
        <v>8</v>
      </c>
      <c r="E988">
        <v>173</v>
      </c>
      <c r="F988" t="s">
        <v>392</v>
      </c>
      <c r="G988">
        <v>4.93</v>
      </c>
    </row>
    <row r="989" spans="1:7" outlineLevel="1" collapsed="1" x14ac:dyDescent="0.3">
      <c r="B989" s="1" t="s">
        <v>1185</v>
      </c>
      <c r="D989" t="str">
        <f>D988</f>
        <v>Male</v>
      </c>
      <c r="G989">
        <f>SUBTOTAL(9,G988:G988)</f>
        <v>4.93</v>
      </c>
    </row>
    <row r="990" spans="1:7" hidden="1" outlineLevel="2" x14ac:dyDescent="0.3">
      <c r="A990">
        <v>298</v>
      </c>
      <c r="B990" t="s">
        <v>417</v>
      </c>
      <c r="C990">
        <v>25</v>
      </c>
      <c r="D990" t="s">
        <v>8</v>
      </c>
      <c r="E990">
        <v>110</v>
      </c>
      <c r="F990" t="s">
        <v>105</v>
      </c>
      <c r="G990">
        <v>1.44</v>
      </c>
    </row>
    <row r="991" spans="1:7" outlineLevel="1" collapsed="1" x14ac:dyDescent="0.3">
      <c r="B991" s="1" t="s">
        <v>1186</v>
      </c>
      <c r="D991" t="str">
        <f>D990</f>
        <v>Male</v>
      </c>
      <c r="G991">
        <f>SUBTOTAL(9,G990:G990)</f>
        <v>1.44</v>
      </c>
    </row>
    <row r="992" spans="1:7" hidden="1" outlineLevel="2" x14ac:dyDescent="0.3">
      <c r="A992">
        <v>195</v>
      </c>
      <c r="B992" t="s">
        <v>308</v>
      </c>
      <c r="C992">
        <v>39</v>
      </c>
      <c r="D992" t="s">
        <v>8</v>
      </c>
      <c r="E992">
        <v>113</v>
      </c>
      <c r="F992" t="s">
        <v>309</v>
      </c>
      <c r="G992">
        <v>4.07</v>
      </c>
    </row>
    <row r="993" spans="1:7" outlineLevel="1" collapsed="1" x14ac:dyDescent="0.3">
      <c r="B993" s="1" t="s">
        <v>1187</v>
      </c>
      <c r="D993" t="str">
        <f>D992</f>
        <v>Male</v>
      </c>
      <c r="G993">
        <f>SUBTOTAL(9,G992:G992)</f>
        <v>4.07</v>
      </c>
    </row>
    <row r="994" spans="1:7" hidden="1" outlineLevel="2" x14ac:dyDescent="0.3">
      <c r="A994">
        <v>115</v>
      </c>
      <c r="B994" t="s">
        <v>203</v>
      </c>
      <c r="C994">
        <v>28</v>
      </c>
      <c r="D994" t="s">
        <v>8</v>
      </c>
      <c r="E994">
        <v>13</v>
      </c>
      <c r="F994" t="s">
        <v>204</v>
      </c>
      <c r="G994">
        <v>1.41</v>
      </c>
    </row>
    <row r="995" spans="1:7" hidden="1" outlineLevel="2" x14ac:dyDescent="0.3">
      <c r="A995">
        <v>606</v>
      </c>
      <c r="B995" t="s">
        <v>203</v>
      </c>
      <c r="C995">
        <v>28</v>
      </c>
      <c r="D995" t="s">
        <v>8</v>
      </c>
      <c r="E995">
        <v>123</v>
      </c>
      <c r="F995" t="s">
        <v>271</v>
      </c>
      <c r="G995">
        <v>2.2799999999999998</v>
      </c>
    </row>
    <row r="996" spans="1:7" outlineLevel="1" collapsed="1" x14ac:dyDescent="0.3">
      <c r="B996" s="1" t="s">
        <v>1188</v>
      </c>
      <c r="D996" t="str">
        <f>D995</f>
        <v>Male</v>
      </c>
      <c r="G996">
        <f>SUBTOTAL(9,G994:G995)</f>
        <v>3.6899999999999995</v>
      </c>
    </row>
    <row r="997" spans="1:7" hidden="1" outlineLevel="2" x14ac:dyDescent="0.3">
      <c r="A997">
        <v>342</v>
      </c>
      <c r="B997" t="s">
        <v>459</v>
      </c>
      <c r="C997">
        <v>21</v>
      </c>
      <c r="D997" t="s">
        <v>8</v>
      </c>
      <c r="E997">
        <v>38</v>
      </c>
      <c r="F997" t="s">
        <v>425</v>
      </c>
      <c r="G997">
        <v>2.37</v>
      </c>
    </row>
    <row r="998" spans="1:7" outlineLevel="1" collapsed="1" x14ac:dyDescent="0.3">
      <c r="B998" s="1" t="s">
        <v>1189</v>
      </c>
      <c r="D998" t="str">
        <f>D997</f>
        <v>Male</v>
      </c>
      <c r="G998">
        <f>SUBTOTAL(9,G997:G997)</f>
        <v>2.37</v>
      </c>
    </row>
    <row r="999" spans="1:7" hidden="1" outlineLevel="2" x14ac:dyDescent="0.3">
      <c r="A999">
        <v>57</v>
      </c>
      <c r="B999" t="s">
        <v>118</v>
      </c>
      <c r="C999">
        <v>21</v>
      </c>
      <c r="D999" t="s">
        <v>8</v>
      </c>
      <c r="E999">
        <v>80</v>
      </c>
      <c r="F999" t="s">
        <v>119</v>
      </c>
      <c r="G999">
        <v>3.39</v>
      </c>
    </row>
    <row r="1000" spans="1:7" outlineLevel="1" collapsed="1" x14ac:dyDescent="0.3">
      <c r="B1000" s="1" t="s">
        <v>1190</v>
      </c>
      <c r="D1000" t="str">
        <f>D999</f>
        <v>Male</v>
      </c>
      <c r="G1000">
        <f>SUBTOTAL(9,G999:G999)</f>
        <v>3.39</v>
      </c>
    </row>
    <row r="1001" spans="1:7" hidden="1" outlineLevel="2" x14ac:dyDescent="0.3">
      <c r="A1001">
        <v>230</v>
      </c>
      <c r="B1001" t="s">
        <v>344</v>
      </c>
      <c r="C1001">
        <v>24</v>
      </c>
      <c r="D1001" t="s">
        <v>8</v>
      </c>
      <c r="E1001">
        <v>102</v>
      </c>
      <c r="F1001" t="s">
        <v>99</v>
      </c>
      <c r="G1001">
        <v>3.44</v>
      </c>
    </row>
    <row r="1002" spans="1:7" outlineLevel="1" collapsed="1" x14ac:dyDescent="0.3">
      <c r="B1002" s="1" t="s">
        <v>1191</v>
      </c>
      <c r="D1002" t="str">
        <f>D1001</f>
        <v>Male</v>
      </c>
      <c r="G1002">
        <f>SUBTOTAL(9,G1001:G1001)</f>
        <v>3.44</v>
      </c>
    </row>
    <row r="1003" spans="1:7" hidden="1" outlineLevel="2" x14ac:dyDescent="0.3">
      <c r="A1003">
        <v>645</v>
      </c>
      <c r="B1003" t="s">
        <v>683</v>
      </c>
      <c r="C1003">
        <v>17</v>
      </c>
      <c r="D1003" t="s">
        <v>8</v>
      </c>
      <c r="E1003">
        <v>114</v>
      </c>
      <c r="F1003" t="s">
        <v>315</v>
      </c>
      <c r="G1003">
        <v>3.82</v>
      </c>
    </row>
    <row r="1004" spans="1:7" outlineLevel="1" collapsed="1" x14ac:dyDescent="0.3">
      <c r="B1004" s="1" t="s">
        <v>1192</v>
      </c>
      <c r="D1004" t="str">
        <f>D1003</f>
        <v>Male</v>
      </c>
      <c r="G1004">
        <f>SUBTOTAL(9,G1003:G1003)</f>
        <v>3.82</v>
      </c>
    </row>
    <row r="1005" spans="1:7" hidden="1" outlineLevel="2" x14ac:dyDescent="0.3">
      <c r="A1005">
        <v>64</v>
      </c>
      <c r="B1005" t="s">
        <v>129</v>
      </c>
      <c r="C1005">
        <v>20</v>
      </c>
      <c r="D1005" t="s">
        <v>8</v>
      </c>
      <c r="E1005">
        <v>56</v>
      </c>
      <c r="F1005" t="s">
        <v>130</v>
      </c>
      <c r="G1005">
        <v>2.92</v>
      </c>
    </row>
    <row r="1006" spans="1:7" hidden="1" outlineLevel="2" x14ac:dyDescent="0.3">
      <c r="A1006">
        <v>133</v>
      </c>
      <c r="B1006" t="s">
        <v>129</v>
      </c>
      <c r="C1006">
        <v>20</v>
      </c>
      <c r="D1006" t="s">
        <v>8</v>
      </c>
      <c r="E1006">
        <v>0</v>
      </c>
      <c r="F1006" t="s">
        <v>228</v>
      </c>
      <c r="G1006">
        <v>1.28</v>
      </c>
    </row>
    <row r="1007" spans="1:7" hidden="1" outlineLevel="2" x14ac:dyDescent="0.3">
      <c r="A1007">
        <v>456</v>
      </c>
      <c r="B1007" t="s">
        <v>129</v>
      </c>
      <c r="C1007">
        <v>20</v>
      </c>
      <c r="D1007" t="s">
        <v>8</v>
      </c>
      <c r="E1007">
        <v>124</v>
      </c>
      <c r="F1007" t="s">
        <v>146</v>
      </c>
      <c r="G1007">
        <v>1.29</v>
      </c>
    </row>
    <row r="1008" spans="1:7" outlineLevel="1" collapsed="1" x14ac:dyDescent="0.3">
      <c r="B1008" s="1" t="s">
        <v>1193</v>
      </c>
      <c r="D1008" t="str">
        <f>D1007</f>
        <v>Male</v>
      </c>
      <c r="G1008">
        <f>SUBTOTAL(9,G1005:G1007)</f>
        <v>5.49</v>
      </c>
    </row>
    <row r="1009" spans="1:7" hidden="1" outlineLevel="2" x14ac:dyDescent="0.3">
      <c r="A1009">
        <v>581</v>
      </c>
      <c r="B1009" t="s">
        <v>644</v>
      </c>
      <c r="C1009">
        <v>23</v>
      </c>
      <c r="D1009" t="s">
        <v>8</v>
      </c>
      <c r="E1009">
        <v>117</v>
      </c>
      <c r="F1009" t="s">
        <v>207</v>
      </c>
      <c r="G1009">
        <v>1.79</v>
      </c>
    </row>
    <row r="1010" spans="1:7" hidden="1" outlineLevel="2" x14ac:dyDescent="0.3">
      <c r="A1010">
        <v>684</v>
      </c>
      <c r="B1010" t="s">
        <v>644</v>
      </c>
      <c r="C1010">
        <v>23</v>
      </c>
      <c r="D1010" t="s">
        <v>8</v>
      </c>
      <c r="E1010">
        <v>169</v>
      </c>
      <c r="F1010" t="s">
        <v>21</v>
      </c>
      <c r="G1010">
        <v>2.1800000000000002</v>
      </c>
    </row>
    <row r="1011" spans="1:7" outlineLevel="1" collapsed="1" x14ac:dyDescent="0.3">
      <c r="B1011" s="1" t="s">
        <v>1194</v>
      </c>
      <c r="D1011" t="str">
        <f>D1010</f>
        <v>Male</v>
      </c>
      <c r="G1011">
        <f>SUBTOTAL(9,G1009:G1010)</f>
        <v>3.97</v>
      </c>
    </row>
    <row r="1012" spans="1:7" hidden="1" outlineLevel="2" x14ac:dyDescent="0.3">
      <c r="A1012">
        <v>70</v>
      </c>
      <c r="B1012" t="s">
        <v>138</v>
      </c>
      <c r="C1012">
        <v>29</v>
      </c>
      <c r="D1012" t="s">
        <v>8</v>
      </c>
      <c r="E1012">
        <v>143</v>
      </c>
      <c r="F1012" t="s">
        <v>11</v>
      </c>
      <c r="G1012">
        <v>1.56</v>
      </c>
    </row>
    <row r="1013" spans="1:7" outlineLevel="1" collapsed="1" x14ac:dyDescent="0.3">
      <c r="B1013" s="1" t="s">
        <v>1195</v>
      </c>
      <c r="D1013" t="str">
        <f>D1012</f>
        <v>Male</v>
      </c>
      <c r="G1013">
        <f>SUBTOTAL(9,G1012:G1012)</f>
        <v>1.56</v>
      </c>
    </row>
    <row r="1014" spans="1:7" hidden="1" outlineLevel="2" x14ac:dyDescent="0.3">
      <c r="A1014">
        <v>100</v>
      </c>
      <c r="B1014" t="s">
        <v>180</v>
      </c>
      <c r="C1014">
        <v>30</v>
      </c>
      <c r="D1014" t="s">
        <v>8</v>
      </c>
      <c r="E1014">
        <v>12</v>
      </c>
      <c r="F1014" t="s">
        <v>158</v>
      </c>
      <c r="G1014">
        <v>1.02</v>
      </c>
    </row>
    <row r="1015" spans="1:7" hidden="1" outlineLevel="2" x14ac:dyDescent="0.3">
      <c r="A1015">
        <v>118</v>
      </c>
      <c r="B1015" t="s">
        <v>180</v>
      </c>
      <c r="C1015">
        <v>30</v>
      </c>
      <c r="D1015" t="s">
        <v>8</v>
      </c>
      <c r="E1015">
        <v>78</v>
      </c>
      <c r="F1015" t="s">
        <v>208</v>
      </c>
      <c r="G1015">
        <v>4.4000000000000004</v>
      </c>
    </row>
    <row r="1016" spans="1:7" hidden="1" outlineLevel="2" x14ac:dyDescent="0.3">
      <c r="A1016">
        <v>417</v>
      </c>
      <c r="B1016" t="s">
        <v>180</v>
      </c>
      <c r="C1016">
        <v>30</v>
      </c>
      <c r="D1016" t="s">
        <v>8</v>
      </c>
      <c r="E1016">
        <v>98</v>
      </c>
      <c r="F1016" t="s">
        <v>40</v>
      </c>
      <c r="G1016">
        <v>2.89</v>
      </c>
    </row>
    <row r="1017" spans="1:7" outlineLevel="1" collapsed="1" x14ac:dyDescent="0.3">
      <c r="B1017" s="1" t="s">
        <v>1196</v>
      </c>
      <c r="D1017" t="str">
        <f>D1016</f>
        <v>Male</v>
      </c>
      <c r="G1017">
        <f>SUBTOTAL(9,G1014:G1016)</f>
        <v>8.31</v>
      </c>
    </row>
    <row r="1018" spans="1:7" hidden="1" outlineLevel="2" x14ac:dyDescent="0.3">
      <c r="A1018">
        <v>356</v>
      </c>
      <c r="B1018" t="s">
        <v>471</v>
      </c>
      <c r="C1018">
        <v>20</v>
      </c>
      <c r="D1018" t="s">
        <v>8</v>
      </c>
      <c r="E1018">
        <v>138</v>
      </c>
      <c r="F1018" t="s">
        <v>103</v>
      </c>
      <c r="G1018">
        <v>4.74</v>
      </c>
    </row>
    <row r="1019" spans="1:7" hidden="1" outlineLevel="2" x14ac:dyDescent="0.3">
      <c r="A1019">
        <v>652</v>
      </c>
      <c r="B1019" t="s">
        <v>471</v>
      </c>
      <c r="C1019">
        <v>20</v>
      </c>
      <c r="D1019" t="s">
        <v>8</v>
      </c>
      <c r="E1019">
        <v>75</v>
      </c>
      <c r="F1019" t="s">
        <v>218</v>
      </c>
      <c r="G1019">
        <v>2.42</v>
      </c>
    </row>
    <row r="1020" spans="1:7" outlineLevel="1" collapsed="1" x14ac:dyDescent="0.3">
      <c r="B1020" s="1" t="s">
        <v>1197</v>
      </c>
      <c r="D1020" t="str">
        <f>D1019</f>
        <v>Male</v>
      </c>
      <c r="G1020">
        <f>SUBTOTAL(9,G1018:G1019)</f>
        <v>7.16</v>
      </c>
    </row>
    <row r="1021" spans="1:7" hidden="1" outlineLevel="2" x14ac:dyDescent="0.3">
      <c r="A1021">
        <v>500</v>
      </c>
      <c r="B1021" t="s">
        <v>593</v>
      </c>
      <c r="C1021">
        <v>20</v>
      </c>
      <c r="D1021" t="s">
        <v>8</v>
      </c>
      <c r="E1021">
        <v>100</v>
      </c>
      <c r="F1021" t="s">
        <v>15</v>
      </c>
      <c r="G1021">
        <v>3.27</v>
      </c>
    </row>
    <row r="1022" spans="1:7" outlineLevel="1" collapsed="1" x14ac:dyDescent="0.3">
      <c r="B1022" s="1" t="s">
        <v>1198</v>
      </c>
      <c r="D1022" t="str">
        <f>D1021</f>
        <v>Male</v>
      </c>
      <c r="G1022">
        <f>SUBTOTAL(9,G1021:G1021)</f>
        <v>3.27</v>
      </c>
    </row>
    <row r="1023" spans="1:7" hidden="1" outlineLevel="2" x14ac:dyDescent="0.3">
      <c r="A1023">
        <v>200</v>
      </c>
      <c r="B1023" t="s">
        <v>314</v>
      </c>
      <c r="C1023">
        <v>23</v>
      </c>
      <c r="D1023" t="s">
        <v>8</v>
      </c>
      <c r="E1023">
        <v>114</v>
      </c>
      <c r="F1023" t="s">
        <v>315</v>
      </c>
      <c r="G1023">
        <v>3.82</v>
      </c>
    </row>
    <row r="1024" spans="1:7" outlineLevel="1" collapsed="1" x14ac:dyDescent="0.3">
      <c r="B1024" s="1" t="s">
        <v>1199</v>
      </c>
      <c r="D1024" t="str">
        <f>D1023</f>
        <v>Male</v>
      </c>
      <c r="G1024">
        <f>SUBTOTAL(9,G1023:G1023)</f>
        <v>3.82</v>
      </c>
    </row>
    <row r="1025" spans="1:7" hidden="1" outlineLevel="2" x14ac:dyDescent="0.3">
      <c r="A1025">
        <v>358</v>
      </c>
      <c r="B1025" t="s">
        <v>473</v>
      </c>
      <c r="C1025">
        <v>24</v>
      </c>
      <c r="D1025" t="s">
        <v>8</v>
      </c>
      <c r="E1025">
        <v>74</v>
      </c>
      <c r="F1025" t="s">
        <v>223</v>
      </c>
      <c r="G1025">
        <v>4.18</v>
      </c>
    </row>
    <row r="1026" spans="1:7" outlineLevel="1" collapsed="1" x14ac:dyDescent="0.3">
      <c r="B1026" s="1" t="s">
        <v>1200</v>
      </c>
      <c r="D1026" t="str">
        <f>D1025</f>
        <v>Male</v>
      </c>
      <c r="G1026">
        <f>SUBTOTAL(9,G1025:G1025)</f>
        <v>4.18</v>
      </c>
    </row>
    <row r="1027" spans="1:7" hidden="1" outlineLevel="2" x14ac:dyDescent="0.3">
      <c r="A1027">
        <v>741</v>
      </c>
      <c r="B1027" t="s">
        <v>744</v>
      </c>
      <c r="C1027">
        <v>19</v>
      </c>
      <c r="D1027" t="s">
        <v>8</v>
      </c>
      <c r="E1027">
        <v>145</v>
      </c>
      <c r="F1027" t="s">
        <v>227</v>
      </c>
      <c r="G1027">
        <v>4.58</v>
      </c>
    </row>
    <row r="1028" spans="1:7" outlineLevel="1" collapsed="1" x14ac:dyDescent="0.3">
      <c r="B1028" s="1" t="s">
        <v>1201</v>
      </c>
      <c r="D1028" t="str">
        <f>D1027</f>
        <v>Male</v>
      </c>
      <c r="G1028">
        <f>SUBTOTAL(9,G1027:G1027)</f>
        <v>4.58</v>
      </c>
    </row>
    <row r="1029" spans="1:7" hidden="1" outlineLevel="2" x14ac:dyDescent="0.3">
      <c r="A1029">
        <v>21</v>
      </c>
      <c r="B1029" t="s">
        <v>51</v>
      </c>
      <c r="C1029">
        <v>20</v>
      </c>
      <c r="D1029" t="s">
        <v>8</v>
      </c>
      <c r="E1029">
        <v>168</v>
      </c>
      <c r="F1029" t="s">
        <v>52</v>
      </c>
      <c r="G1029">
        <v>1.48</v>
      </c>
    </row>
    <row r="1030" spans="1:7" outlineLevel="1" collapsed="1" x14ac:dyDescent="0.3">
      <c r="B1030" s="1" t="s">
        <v>1202</v>
      </c>
      <c r="D1030" t="str">
        <f>D1029</f>
        <v>Male</v>
      </c>
      <c r="G1030">
        <f>SUBTOTAL(9,G1029:G1029)</f>
        <v>1.48</v>
      </c>
    </row>
    <row r="1031" spans="1:7" hidden="1" outlineLevel="2" x14ac:dyDescent="0.3">
      <c r="A1031">
        <v>75</v>
      </c>
      <c r="B1031" t="s">
        <v>145</v>
      </c>
      <c r="C1031">
        <v>33</v>
      </c>
      <c r="D1031" t="s">
        <v>8</v>
      </c>
      <c r="E1031">
        <v>124</v>
      </c>
      <c r="F1031" t="s">
        <v>146</v>
      </c>
      <c r="G1031">
        <v>1.29</v>
      </c>
    </row>
    <row r="1032" spans="1:7" outlineLevel="1" collapsed="1" x14ac:dyDescent="0.3">
      <c r="B1032" s="1" t="s">
        <v>1203</v>
      </c>
      <c r="D1032" t="str">
        <f>D1031</f>
        <v>Male</v>
      </c>
      <c r="G1032">
        <f>SUBTOTAL(9,G1031:G1031)</f>
        <v>1.29</v>
      </c>
    </row>
    <row r="1033" spans="1:7" hidden="1" outlineLevel="2" x14ac:dyDescent="0.3">
      <c r="A1033">
        <v>701</v>
      </c>
      <c r="B1033" t="s">
        <v>718</v>
      </c>
      <c r="C1033">
        <v>25</v>
      </c>
      <c r="D1033" t="s">
        <v>8</v>
      </c>
      <c r="E1033">
        <v>10</v>
      </c>
      <c r="F1033" t="s">
        <v>187</v>
      </c>
      <c r="G1033">
        <v>1.79</v>
      </c>
    </row>
    <row r="1034" spans="1:7" outlineLevel="1" collapsed="1" x14ac:dyDescent="0.3">
      <c r="B1034" s="1" t="s">
        <v>1204</v>
      </c>
      <c r="D1034" t="str">
        <f>D1033</f>
        <v>Male</v>
      </c>
      <c r="G1034">
        <f>SUBTOTAL(9,G1033:G1033)</f>
        <v>1.79</v>
      </c>
    </row>
    <row r="1035" spans="1:7" hidden="1" outlineLevel="2" x14ac:dyDescent="0.3">
      <c r="A1035">
        <v>202</v>
      </c>
      <c r="B1035" t="s">
        <v>317</v>
      </c>
      <c r="C1035">
        <v>37</v>
      </c>
      <c r="D1035" t="s">
        <v>8</v>
      </c>
      <c r="E1035">
        <v>82</v>
      </c>
      <c r="F1035" t="s">
        <v>46</v>
      </c>
      <c r="G1035">
        <v>4.9000000000000004</v>
      </c>
    </row>
    <row r="1036" spans="1:7" hidden="1" outlineLevel="2" x14ac:dyDescent="0.3">
      <c r="A1036">
        <v>521</v>
      </c>
      <c r="B1036" t="s">
        <v>317</v>
      </c>
      <c r="C1036">
        <v>37</v>
      </c>
      <c r="D1036" t="s">
        <v>8</v>
      </c>
      <c r="E1036">
        <v>50</v>
      </c>
      <c r="F1036" t="s">
        <v>151</v>
      </c>
      <c r="G1036">
        <v>4.5999999999999996</v>
      </c>
    </row>
    <row r="1037" spans="1:7" outlineLevel="1" collapsed="1" x14ac:dyDescent="0.3">
      <c r="B1037" s="1" t="s">
        <v>1205</v>
      </c>
      <c r="D1037" t="str">
        <f>D1036</f>
        <v>Male</v>
      </c>
      <c r="G1037">
        <f>SUBTOTAL(9,G1035:G1036)</f>
        <v>9.5</v>
      </c>
    </row>
    <row r="1038" spans="1:7" hidden="1" outlineLevel="2" x14ac:dyDescent="0.3">
      <c r="A1038">
        <v>382</v>
      </c>
      <c r="B1038" t="s">
        <v>495</v>
      </c>
      <c r="C1038">
        <v>24</v>
      </c>
      <c r="D1038" t="s">
        <v>8</v>
      </c>
      <c r="E1038">
        <v>164</v>
      </c>
      <c r="F1038" t="s">
        <v>175</v>
      </c>
      <c r="G1038">
        <v>1.63</v>
      </c>
    </row>
    <row r="1039" spans="1:7" outlineLevel="1" collapsed="1" x14ac:dyDescent="0.3">
      <c r="B1039" s="1" t="s">
        <v>1206</v>
      </c>
      <c r="D1039" t="str">
        <f>D1038</f>
        <v>Male</v>
      </c>
      <c r="G1039">
        <f>SUBTOTAL(9,G1038:G1038)</f>
        <v>1.63</v>
      </c>
    </row>
    <row r="1040" spans="1:7" hidden="1" outlineLevel="2" x14ac:dyDescent="0.3">
      <c r="A1040">
        <v>571</v>
      </c>
      <c r="B1040" t="s">
        <v>639</v>
      </c>
      <c r="C1040">
        <v>16</v>
      </c>
      <c r="D1040" t="s">
        <v>8</v>
      </c>
      <c r="E1040">
        <v>165</v>
      </c>
      <c r="F1040" t="s">
        <v>37</v>
      </c>
      <c r="G1040">
        <v>4.8600000000000003</v>
      </c>
    </row>
    <row r="1041" spans="1:7" outlineLevel="1" collapsed="1" x14ac:dyDescent="0.3">
      <c r="B1041" s="1" t="s">
        <v>1207</v>
      </c>
      <c r="D1041" t="str">
        <f>D1040</f>
        <v>Male</v>
      </c>
      <c r="G1041">
        <f>SUBTOTAL(9,G1040:G1040)</f>
        <v>4.8600000000000003</v>
      </c>
    </row>
    <row r="1042" spans="1:7" hidden="1" outlineLevel="2" x14ac:dyDescent="0.3">
      <c r="A1042">
        <v>86</v>
      </c>
      <c r="B1042" t="s">
        <v>162</v>
      </c>
      <c r="C1042">
        <v>33</v>
      </c>
      <c r="D1042" t="s">
        <v>8</v>
      </c>
      <c r="E1042">
        <v>129</v>
      </c>
      <c r="F1042" t="s">
        <v>163</v>
      </c>
      <c r="G1042">
        <v>1.54</v>
      </c>
    </row>
    <row r="1043" spans="1:7" outlineLevel="1" collapsed="1" x14ac:dyDescent="0.3">
      <c r="B1043" s="1" t="s">
        <v>1208</v>
      </c>
      <c r="D1043" t="str">
        <f>D1042</f>
        <v>Male</v>
      </c>
      <c r="G1043">
        <f>SUBTOTAL(9,G1042:G1042)</f>
        <v>1.54</v>
      </c>
    </row>
    <row r="1044" spans="1:7" hidden="1" outlineLevel="2" x14ac:dyDescent="0.3">
      <c r="A1044">
        <v>344</v>
      </c>
      <c r="B1044" t="s">
        <v>461</v>
      </c>
      <c r="C1044">
        <v>23</v>
      </c>
      <c r="D1044" t="s">
        <v>8</v>
      </c>
      <c r="E1044">
        <v>19</v>
      </c>
      <c r="F1044" t="s">
        <v>358</v>
      </c>
      <c r="G1044">
        <v>1.02</v>
      </c>
    </row>
    <row r="1045" spans="1:7" outlineLevel="1" collapsed="1" x14ac:dyDescent="0.3">
      <c r="B1045" s="1" t="s">
        <v>1209</v>
      </c>
      <c r="D1045" t="str">
        <f>D1044</f>
        <v>Male</v>
      </c>
      <c r="G1045">
        <f>SUBTOTAL(9,G1044:G1044)</f>
        <v>1.02</v>
      </c>
    </row>
    <row r="1046" spans="1:7" hidden="1" outlineLevel="2" x14ac:dyDescent="0.3">
      <c r="A1046">
        <v>208</v>
      </c>
      <c r="B1046" t="s">
        <v>323</v>
      </c>
      <c r="C1046">
        <v>37</v>
      </c>
      <c r="D1046" t="s">
        <v>8</v>
      </c>
      <c r="E1046">
        <v>105</v>
      </c>
      <c r="F1046" t="s">
        <v>123</v>
      </c>
      <c r="G1046">
        <v>3.03</v>
      </c>
    </row>
    <row r="1047" spans="1:7" outlineLevel="1" collapsed="1" x14ac:dyDescent="0.3">
      <c r="B1047" s="1" t="s">
        <v>1210</v>
      </c>
      <c r="D1047" t="str">
        <f>D1046</f>
        <v>Male</v>
      </c>
      <c r="G1047">
        <f>SUBTOTAL(9,G1046:G1046)</f>
        <v>3.03</v>
      </c>
    </row>
    <row r="1048" spans="1:7" hidden="1" outlineLevel="2" x14ac:dyDescent="0.3">
      <c r="A1048">
        <v>149</v>
      </c>
      <c r="B1048" t="s">
        <v>247</v>
      </c>
      <c r="C1048">
        <v>17</v>
      </c>
      <c r="D1048" t="s">
        <v>8</v>
      </c>
      <c r="E1048">
        <v>161</v>
      </c>
      <c r="F1048" t="s">
        <v>44</v>
      </c>
      <c r="G1048">
        <v>1.76</v>
      </c>
    </row>
    <row r="1049" spans="1:7" outlineLevel="1" collapsed="1" x14ac:dyDescent="0.3">
      <c r="B1049" s="1" t="s">
        <v>1211</v>
      </c>
      <c r="D1049" t="str">
        <f>D1048</f>
        <v>Male</v>
      </c>
      <c r="G1049">
        <f>SUBTOTAL(9,G1048:G1048)</f>
        <v>1.76</v>
      </c>
    </row>
    <row r="1050" spans="1:7" hidden="1" outlineLevel="2" x14ac:dyDescent="0.3">
      <c r="A1050">
        <v>438</v>
      </c>
      <c r="B1050" t="s">
        <v>541</v>
      </c>
      <c r="C1050">
        <v>23</v>
      </c>
      <c r="D1050" t="s">
        <v>8</v>
      </c>
      <c r="E1050">
        <v>145</v>
      </c>
      <c r="F1050" t="s">
        <v>227</v>
      </c>
      <c r="G1050">
        <v>4.58</v>
      </c>
    </row>
    <row r="1051" spans="1:7" outlineLevel="1" collapsed="1" x14ac:dyDescent="0.3">
      <c r="B1051" s="1" t="s">
        <v>1212</v>
      </c>
      <c r="D1051" t="str">
        <f>D1050</f>
        <v>Male</v>
      </c>
      <c r="G1051">
        <f>SUBTOTAL(9,G1050:G1050)</f>
        <v>4.58</v>
      </c>
    </row>
    <row r="1052" spans="1:7" hidden="1" outlineLevel="2" x14ac:dyDescent="0.3">
      <c r="A1052">
        <v>692</v>
      </c>
      <c r="B1052" t="s">
        <v>711</v>
      </c>
      <c r="C1052">
        <v>9</v>
      </c>
      <c r="D1052" t="s">
        <v>8</v>
      </c>
      <c r="E1052">
        <v>78</v>
      </c>
      <c r="F1052" t="s">
        <v>208</v>
      </c>
      <c r="G1052">
        <v>4.4000000000000004</v>
      </c>
    </row>
    <row r="1053" spans="1:7" outlineLevel="1" collapsed="1" x14ac:dyDescent="0.3">
      <c r="B1053" s="1" t="s">
        <v>1213</v>
      </c>
      <c r="D1053" t="str">
        <f>D1052</f>
        <v>Male</v>
      </c>
      <c r="G1053">
        <f>SUBTOTAL(9,G1052:G1052)</f>
        <v>4.4000000000000004</v>
      </c>
    </row>
    <row r="1054" spans="1:7" hidden="1" outlineLevel="2" x14ac:dyDescent="0.3">
      <c r="A1054">
        <v>619</v>
      </c>
      <c r="B1054" t="s">
        <v>667</v>
      </c>
      <c r="C1054">
        <v>15</v>
      </c>
      <c r="D1054" t="s">
        <v>8</v>
      </c>
      <c r="E1054">
        <v>55</v>
      </c>
      <c r="F1054" t="s">
        <v>656</v>
      </c>
      <c r="G1054">
        <v>2.27</v>
      </c>
    </row>
    <row r="1055" spans="1:7" outlineLevel="1" collapsed="1" x14ac:dyDescent="0.3">
      <c r="B1055" s="1" t="s">
        <v>1214</v>
      </c>
      <c r="D1055" t="str">
        <f>D1054</f>
        <v>Male</v>
      </c>
      <c r="G1055">
        <f>SUBTOTAL(9,G1054:G1054)</f>
        <v>2.27</v>
      </c>
    </row>
    <row r="1056" spans="1:7" hidden="1" outlineLevel="2" x14ac:dyDescent="0.3">
      <c r="A1056">
        <v>243</v>
      </c>
      <c r="B1056" t="s">
        <v>362</v>
      </c>
      <c r="C1056">
        <v>24</v>
      </c>
      <c r="D1056" t="s">
        <v>8</v>
      </c>
      <c r="E1056">
        <v>83</v>
      </c>
      <c r="F1056" t="s">
        <v>363</v>
      </c>
      <c r="G1056">
        <v>3.33</v>
      </c>
    </row>
    <row r="1057" spans="1:7" outlineLevel="1" collapsed="1" x14ac:dyDescent="0.3">
      <c r="B1057" s="1" t="s">
        <v>1215</v>
      </c>
      <c r="D1057" t="str">
        <f>D1056</f>
        <v>Male</v>
      </c>
      <c r="G1057">
        <f>SUBTOTAL(9,G1056:G1056)</f>
        <v>3.33</v>
      </c>
    </row>
    <row r="1058" spans="1:7" hidden="1" outlineLevel="2" x14ac:dyDescent="0.3">
      <c r="A1058">
        <v>439</v>
      </c>
      <c r="B1058" t="s">
        <v>542</v>
      </c>
      <c r="C1058">
        <v>22</v>
      </c>
      <c r="D1058" t="s">
        <v>8</v>
      </c>
      <c r="E1058">
        <v>59</v>
      </c>
      <c r="F1058" t="s">
        <v>169</v>
      </c>
      <c r="G1058">
        <v>4.2300000000000004</v>
      </c>
    </row>
    <row r="1059" spans="1:7" outlineLevel="1" collapsed="1" x14ac:dyDescent="0.3">
      <c r="B1059" s="1" t="s">
        <v>1216</v>
      </c>
      <c r="D1059" t="str">
        <f>D1058</f>
        <v>Male</v>
      </c>
      <c r="G1059">
        <f>SUBTOTAL(9,G1058:G1058)</f>
        <v>4.2300000000000004</v>
      </c>
    </row>
    <row r="1060" spans="1:7" hidden="1" outlineLevel="2" x14ac:dyDescent="0.3">
      <c r="A1060">
        <v>389</v>
      </c>
      <c r="B1060" t="s">
        <v>502</v>
      </c>
      <c r="C1060">
        <v>15</v>
      </c>
      <c r="D1060" t="s">
        <v>8</v>
      </c>
      <c r="E1060">
        <v>157</v>
      </c>
      <c r="F1060" t="s">
        <v>269</v>
      </c>
      <c r="G1060">
        <v>4.8</v>
      </c>
    </row>
    <row r="1061" spans="1:7" hidden="1" outlineLevel="2" x14ac:dyDescent="0.3">
      <c r="A1061">
        <v>597</v>
      </c>
      <c r="B1061" t="s">
        <v>502</v>
      </c>
      <c r="C1061">
        <v>15</v>
      </c>
      <c r="D1061" t="s">
        <v>8</v>
      </c>
      <c r="E1061">
        <v>86</v>
      </c>
      <c r="F1061" t="s">
        <v>521</v>
      </c>
      <c r="G1061">
        <v>2.27</v>
      </c>
    </row>
    <row r="1062" spans="1:7" outlineLevel="1" collapsed="1" x14ac:dyDescent="0.3">
      <c r="B1062" s="1" t="s">
        <v>1217</v>
      </c>
      <c r="D1062" t="str">
        <f>D1061</f>
        <v>Male</v>
      </c>
      <c r="G1062">
        <f>SUBTOTAL(9,G1060:G1061)</f>
        <v>7.07</v>
      </c>
    </row>
    <row r="1063" spans="1:7" hidden="1" outlineLevel="2" x14ac:dyDescent="0.3">
      <c r="A1063">
        <v>56</v>
      </c>
      <c r="B1063" t="s">
        <v>117</v>
      </c>
      <c r="C1063">
        <v>12</v>
      </c>
      <c r="D1063" t="s">
        <v>8</v>
      </c>
      <c r="E1063">
        <v>108</v>
      </c>
      <c r="F1063" t="s">
        <v>9</v>
      </c>
      <c r="G1063">
        <v>3.53</v>
      </c>
    </row>
    <row r="1064" spans="1:7" hidden="1" outlineLevel="2" x14ac:dyDescent="0.3">
      <c r="A1064">
        <v>408</v>
      </c>
      <c r="B1064" t="s">
        <v>117</v>
      </c>
      <c r="C1064">
        <v>12</v>
      </c>
      <c r="D1064" t="s">
        <v>8</v>
      </c>
      <c r="E1064">
        <v>53</v>
      </c>
      <c r="F1064" t="s">
        <v>80</v>
      </c>
      <c r="G1064">
        <v>2.0499999999999998</v>
      </c>
    </row>
    <row r="1065" spans="1:7" hidden="1" outlineLevel="2" x14ac:dyDescent="0.3">
      <c r="A1065">
        <v>755</v>
      </c>
      <c r="B1065" t="s">
        <v>117</v>
      </c>
      <c r="C1065">
        <v>12</v>
      </c>
      <c r="D1065" t="s">
        <v>8</v>
      </c>
      <c r="E1065">
        <v>76</v>
      </c>
      <c r="F1065" t="s">
        <v>82</v>
      </c>
      <c r="G1065">
        <v>3.15</v>
      </c>
    </row>
    <row r="1066" spans="1:7" outlineLevel="1" collapsed="1" x14ac:dyDescent="0.3">
      <c r="B1066" s="1" t="s">
        <v>1218</v>
      </c>
      <c r="D1066" t="str">
        <f>D1065</f>
        <v>Male</v>
      </c>
      <c r="G1066">
        <f>SUBTOTAL(9,G1063:G1065)</f>
        <v>8.73</v>
      </c>
    </row>
    <row r="1067" spans="1:7" hidden="1" outlineLevel="2" x14ac:dyDescent="0.3">
      <c r="A1067">
        <v>487</v>
      </c>
      <c r="B1067" t="s">
        <v>582</v>
      </c>
      <c r="C1067">
        <v>14</v>
      </c>
      <c r="D1067" t="s">
        <v>8</v>
      </c>
      <c r="E1067">
        <v>93</v>
      </c>
      <c r="F1067" t="s">
        <v>523</v>
      </c>
      <c r="G1067">
        <v>1.97</v>
      </c>
    </row>
    <row r="1068" spans="1:7" outlineLevel="1" collapsed="1" x14ac:dyDescent="0.3">
      <c r="B1068" s="1" t="s">
        <v>1219</v>
      </c>
      <c r="D1068" t="str">
        <f>D1067</f>
        <v>Male</v>
      </c>
      <c r="G1068">
        <f>SUBTOTAL(9,G1067:G1067)</f>
        <v>1.97</v>
      </c>
    </row>
    <row r="1069" spans="1:7" hidden="1" outlineLevel="2" x14ac:dyDescent="0.3">
      <c r="A1069">
        <v>235</v>
      </c>
      <c r="B1069" t="s">
        <v>349</v>
      </c>
      <c r="C1069">
        <v>24</v>
      </c>
      <c r="D1069" t="s">
        <v>8</v>
      </c>
      <c r="E1069">
        <v>163</v>
      </c>
      <c r="F1069" t="s">
        <v>350</v>
      </c>
      <c r="G1069">
        <v>3.45</v>
      </c>
    </row>
    <row r="1070" spans="1:7" outlineLevel="1" collapsed="1" x14ac:dyDescent="0.3">
      <c r="B1070" s="1" t="s">
        <v>1220</v>
      </c>
      <c r="D1070" t="str">
        <f>D1069</f>
        <v>Male</v>
      </c>
      <c r="G1070">
        <f>SUBTOTAL(9,G1069:G1069)</f>
        <v>3.45</v>
      </c>
    </row>
    <row r="1071" spans="1:7" hidden="1" outlineLevel="2" x14ac:dyDescent="0.3">
      <c r="A1071">
        <v>425</v>
      </c>
      <c r="B1071" t="s">
        <v>531</v>
      </c>
      <c r="C1071">
        <v>15</v>
      </c>
      <c r="D1071" t="s">
        <v>8</v>
      </c>
      <c r="E1071">
        <v>20</v>
      </c>
      <c r="F1071" t="s">
        <v>150</v>
      </c>
      <c r="G1071">
        <v>3.27</v>
      </c>
    </row>
    <row r="1072" spans="1:7" outlineLevel="1" collapsed="1" x14ac:dyDescent="0.3">
      <c r="B1072" s="1" t="s">
        <v>1221</v>
      </c>
      <c r="D1072" t="str">
        <f>D1071</f>
        <v>Male</v>
      </c>
      <c r="G1072">
        <f>SUBTOTAL(9,G1071:G1071)</f>
        <v>3.27</v>
      </c>
    </row>
    <row r="1073" spans="1:7" hidden="1" outlineLevel="2" x14ac:dyDescent="0.3">
      <c r="A1073">
        <v>138</v>
      </c>
      <c r="B1073" t="s">
        <v>234</v>
      </c>
      <c r="C1073">
        <v>33</v>
      </c>
      <c r="D1073" t="s">
        <v>8</v>
      </c>
      <c r="E1073">
        <v>136</v>
      </c>
      <c r="F1073" t="s">
        <v>28</v>
      </c>
      <c r="G1073">
        <v>3.58</v>
      </c>
    </row>
    <row r="1074" spans="1:7" hidden="1" outlineLevel="2" x14ac:dyDescent="0.3">
      <c r="A1074">
        <v>319</v>
      </c>
      <c r="B1074" t="s">
        <v>234</v>
      </c>
      <c r="C1074">
        <v>33</v>
      </c>
      <c r="D1074" t="s">
        <v>8</v>
      </c>
      <c r="E1074">
        <v>144</v>
      </c>
      <c r="F1074" t="s">
        <v>278</v>
      </c>
      <c r="G1074">
        <v>1.94</v>
      </c>
    </row>
    <row r="1075" spans="1:7" hidden="1" outlineLevel="2" x14ac:dyDescent="0.3">
      <c r="A1075">
        <v>678</v>
      </c>
      <c r="B1075" t="s">
        <v>234</v>
      </c>
      <c r="C1075">
        <v>33</v>
      </c>
      <c r="D1075" t="s">
        <v>8</v>
      </c>
      <c r="E1075">
        <v>108</v>
      </c>
      <c r="F1075" t="s">
        <v>9</v>
      </c>
      <c r="G1075">
        <v>3.53</v>
      </c>
    </row>
    <row r="1076" spans="1:7" outlineLevel="1" collapsed="1" x14ac:dyDescent="0.3">
      <c r="B1076" s="1" t="s">
        <v>1222</v>
      </c>
      <c r="D1076" t="str">
        <f>D1075</f>
        <v>Male</v>
      </c>
      <c r="G1076">
        <f>SUBTOTAL(9,G1073:G1075)</f>
        <v>9.0499999999999989</v>
      </c>
    </row>
    <row r="1077" spans="1:7" hidden="1" outlineLevel="2" x14ac:dyDescent="0.3">
      <c r="A1077">
        <v>748</v>
      </c>
      <c r="B1077" t="s">
        <v>749</v>
      </c>
      <c r="C1077">
        <v>20</v>
      </c>
      <c r="D1077" t="s">
        <v>8</v>
      </c>
      <c r="E1077">
        <v>55</v>
      </c>
      <c r="F1077" t="s">
        <v>656</v>
      </c>
      <c r="G1077">
        <v>2.27</v>
      </c>
    </row>
    <row r="1078" spans="1:7" outlineLevel="1" collapsed="1" x14ac:dyDescent="0.3">
      <c r="B1078" s="1" t="s">
        <v>1223</v>
      </c>
      <c r="D1078" t="str">
        <f>D1077</f>
        <v>Male</v>
      </c>
      <c r="G1078">
        <f>SUBTOTAL(9,G1077:G1077)</f>
        <v>2.27</v>
      </c>
    </row>
    <row r="1079" spans="1:7" hidden="1" outlineLevel="2" x14ac:dyDescent="0.3">
      <c r="A1079">
        <v>377</v>
      </c>
      <c r="B1079" t="s">
        <v>490</v>
      </c>
      <c r="C1079">
        <v>20</v>
      </c>
      <c r="D1079" t="s">
        <v>8</v>
      </c>
      <c r="E1079">
        <v>11</v>
      </c>
      <c r="F1079" t="s">
        <v>298</v>
      </c>
      <c r="G1079">
        <v>3.65</v>
      </c>
    </row>
    <row r="1080" spans="1:7" outlineLevel="1" collapsed="1" x14ac:dyDescent="0.3">
      <c r="B1080" s="1" t="s">
        <v>1224</v>
      </c>
      <c r="D1080" t="str">
        <f>D1079</f>
        <v>Male</v>
      </c>
      <c r="G1080">
        <f>SUBTOTAL(9,G1079:G1079)</f>
        <v>3.65</v>
      </c>
    </row>
    <row r="1081" spans="1:7" hidden="1" outlineLevel="2" x14ac:dyDescent="0.3">
      <c r="A1081">
        <v>464</v>
      </c>
      <c r="B1081" t="s">
        <v>564</v>
      </c>
      <c r="C1081">
        <v>22</v>
      </c>
      <c r="D1081" t="s">
        <v>8</v>
      </c>
      <c r="E1081">
        <v>178</v>
      </c>
      <c r="F1081" t="s">
        <v>60</v>
      </c>
      <c r="G1081">
        <v>4.2300000000000004</v>
      </c>
    </row>
    <row r="1082" spans="1:7" outlineLevel="1" collapsed="1" x14ac:dyDescent="0.3">
      <c r="B1082" s="1" t="s">
        <v>1225</v>
      </c>
      <c r="D1082" t="str">
        <f>D1081</f>
        <v>Male</v>
      </c>
      <c r="G1082">
        <f>SUBTOTAL(9,G1081:G1081)</f>
        <v>4.2300000000000004</v>
      </c>
    </row>
    <row r="1083" spans="1:7" hidden="1" outlineLevel="2" x14ac:dyDescent="0.3">
      <c r="A1083">
        <v>287</v>
      </c>
      <c r="B1083" t="s">
        <v>405</v>
      </c>
      <c r="C1083">
        <v>20</v>
      </c>
      <c r="D1083" t="s">
        <v>8</v>
      </c>
      <c r="E1083">
        <v>5</v>
      </c>
      <c r="F1083" t="s">
        <v>276</v>
      </c>
      <c r="G1083">
        <v>4.08</v>
      </c>
    </row>
    <row r="1084" spans="1:7" outlineLevel="1" collapsed="1" x14ac:dyDescent="0.3">
      <c r="B1084" s="1" t="s">
        <v>1226</v>
      </c>
      <c r="D1084" t="str">
        <f>D1083</f>
        <v>Male</v>
      </c>
      <c r="G1084">
        <f>SUBTOTAL(9,G1083:G1083)</f>
        <v>4.08</v>
      </c>
    </row>
    <row r="1085" spans="1:7" hidden="1" outlineLevel="2" x14ac:dyDescent="0.3">
      <c r="A1085">
        <v>110</v>
      </c>
      <c r="B1085" t="s">
        <v>195</v>
      </c>
      <c r="C1085">
        <v>25</v>
      </c>
      <c r="D1085" t="s">
        <v>8</v>
      </c>
      <c r="E1085">
        <v>139</v>
      </c>
      <c r="F1085" t="s">
        <v>196</v>
      </c>
      <c r="G1085">
        <v>4.9400000000000004</v>
      </c>
    </row>
    <row r="1086" spans="1:7" outlineLevel="1" collapsed="1" x14ac:dyDescent="0.3">
      <c r="B1086" s="1" t="s">
        <v>1227</v>
      </c>
      <c r="D1086" t="str">
        <f>D1085</f>
        <v>Male</v>
      </c>
      <c r="G1086">
        <f>SUBTOTAL(9,G1085:G1085)</f>
        <v>4.9400000000000004</v>
      </c>
    </row>
    <row r="1087" spans="1:7" hidden="1" outlineLevel="2" x14ac:dyDescent="0.3">
      <c r="A1087">
        <v>380</v>
      </c>
      <c r="B1087" t="s">
        <v>493</v>
      </c>
      <c r="C1087">
        <v>25</v>
      </c>
      <c r="D1087" t="s">
        <v>8</v>
      </c>
      <c r="E1087">
        <v>50</v>
      </c>
      <c r="F1087" t="s">
        <v>151</v>
      </c>
      <c r="G1087">
        <v>4.5999999999999996</v>
      </c>
    </row>
    <row r="1088" spans="1:7" outlineLevel="1" collapsed="1" x14ac:dyDescent="0.3">
      <c r="B1088" s="1" t="s">
        <v>1228</v>
      </c>
      <c r="D1088" t="str">
        <f>D1087</f>
        <v>Male</v>
      </c>
      <c r="G1088">
        <f>SUBTOTAL(9,G1087:G1087)</f>
        <v>4.5999999999999996</v>
      </c>
    </row>
    <row r="1089" spans="1:7" hidden="1" outlineLevel="2" x14ac:dyDescent="0.3">
      <c r="A1089">
        <v>193</v>
      </c>
      <c r="B1089" t="s">
        <v>306</v>
      </c>
      <c r="C1089">
        <v>27</v>
      </c>
      <c r="D1089" t="s">
        <v>8</v>
      </c>
      <c r="E1089">
        <v>62</v>
      </c>
      <c r="F1089" t="s">
        <v>217</v>
      </c>
      <c r="G1089">
        <v>1.87</v>
      </c>
    </row>
    <row r="1090" spans="1:7" outlineLevel="1" collapsed="1" x14ac:dyDescent="0.3">
      <c r="B1090" s="1" t="s">
        <v>1229</v>
      </c>
      <c r="D1090" t="str">
        <f>D1089</f>
        <v>Male</v>
      </c>
      <c r="G1090">
        <f>SUBTOTAL(9,G1089:G1089)</f>
        <v>1.87</v>
      </c>
    </row>
    <row r="1091" spans="1:7" hidden="1" outlineLevel="2" x14ac:dyDescent="0.3">
      <c r="A1091">
        <v>353</v>
      </c>
      <c r="B1091" t="s">
        <v>468</v>
      </c>
      <c r="C1091">
        <v>25</v>
      </c>
      <c r="D1091" t="s">
        <v>8</v>
      </c>
      <c r="E1091">
        <v>174</v>
      </c>
      <c r="F1091" t="s">
        <v>155</v>
      </c>
      <c r="G1091">
        <v>3.47</v>
      </c>
    </row>
    <row r="1092" spans="1:7" outlineLevel="1" collapsed="1" x14ac:dyDescent="0.3">
      <c r="B1092" s="1" t="s">
        <v>1230</v>
      </c>
      <c r="D1092" t="str">
        <f>D1091</f>
        <v>Male</v>
      </c>
      <c r="G1092">
        <f>SUBTOTAL(9,G1091:G1091)</f>
        <v>3.47</v>
      </c>
    </row>
    <row r="1093" spans="1:7" hidden="1" outlineLevel="2" x14ac:dyDescent="0.3">
      <c r="A1093">
        <v>322</v>
      </c>
      <c r="B1093" t="s">
        <v>439</v>
      </c>
      <c r="C1093">
        <v>18</v>
      </c>
      <c r="D1093" t="s">
        <v>8</v>
      </c>
      <c r="E1093">
        <v>37</v>
      </c>
      <c r="F1093" t="s">
        <v>68</v>
      </c>
      <c r="G1093">
        <v>3.16</v>
      </c>
    </row>
    <row r="1094" spans="1:7" hidden="1" outlineLevel="2" x14ac:dyDescent="0.3">
      <c r="A1094">
        <v>346</v>
      </c>
      <c r="B1094" t="s">
        <v>439</v>
      </c>
      <c r="C1094">
        <v>18</v>
      </c>
      <c r="D1094" t="s">
        <v>8</v>
      </c>
      <c r="E1094">
        <v>121</v>
      </c>
      <c r="F1094" t="s">
        <v>463</v>
      </c>
      <c r="G1094">
        <v>1.6</v>
      </c>
    </row>
    <row r="1095" spans="1:7" hidden="1" outlineLevel="2" x14ac:dyDescent="0.3">
      <c r="A1095">
        <v>764</v>
      </c>
      <c r="B1095" t="s">
        <v>439</v>
      </c>
      <c r="C1095">
        <v>18</v>
      </c>
      <c r="D1095" t="s">
        <v>8</v>
      </c>
      <c r="E1095">
        <v>113</v>
      </c>
      <c r="F1095" t="s">
        <v>309</v>
      </c>
      <c r="G1095">
        <v>4.07</v>
      </c>
    </row>
    <row r="1096" spans="1:7" outlineLevel="1" collapsed="1" x14ac:dyDescent="0.3">
      <c r="B1096" s="1" t="s">
        <v>1231</v>
      </c>
      <c r="D1096" t="str">
        <f>D1095</f>
        <v>Male</v>
      </c>
      <c r="G1096">
        <f>SUBTOTAL(9,G1093:G1095)</f>
        <v>8.83</v>
      </c>
    </row>
    <row r="1097" spans="1:7" hidden="1" outlineLevel="2" x14ac:dyDescent="0.3">
      <c r="A1097">
        <v>12</v>
      </c>
      <c r="B1097" t="s">
        <v>32</v>
      </c>
      <c r="C1097">
        <v>21</v>
      </c>
      <c r="D1097" t="s">
        <v>8</v>
      </c>
      <c r="E1097">
        <v>116</v>
      </c>
      <c r="F1097" t="s">
        <v>33</v>
      </c>
      <c r="G1097">
        <v>4.18</v>
      </c>
    </row>
    <row r="1098" spans="1:7" hidden="1" outlineLevel="2" x14ac:dyDescent="0.3">
      <c r="A1098">
        <v>50</v>
      </c>
      <c r="B1098" t="s">
        <v>32</v>
      </c>
      <c r="C1098">
        <v>21</v>
      </c>
      <c r="D1098" t="s">
        <v>8</v>
      </c>
      <c r="E1098">
        <v>22</v>
      </c>
      <c r="F1098" t="s">
        <v>106</v>
      </c>
      <c r="G1098">
        <v>2.1800000000000002</v>
      </c>
    </row>
    <row r="1099" spans="1:7" outlineLevel="1" collapsed="1" x14ac:dyDescent="0.3">
      <c r="B1099" s="1" t="s">
        <v>1232</v>
      </c>
      <c r="D1099" t="str">
        <f>D1098</f>
        <v>Male</v>
      </c>
      <c r="G1099">
        <f>SUBTOTAL(9,G1097:G1098)</f>
        <v>6.3599999999999994</v>
      </c>
    </row>
    <row r="1100" spans="1:7" hidden="1" outlineLevel="2" x14ac:dyDescent="0.3">
      <c r="A1100">
        <v>180</v>
      </c>
      <c r="B1100" t="s">
        <v>286</v>
      </c>
      <c r="C1100">
        <v>24</v>
      </c>
      <c r="D1100" t="s">
        <v>8</v>
      </c>
      <c r="E1100">
        <v>95</v>
      </c>
      <c r="F1100" t="s">
        <v>30</v>
      </c>
      <c r="G1100">
        <v>4.74</v>
      </c>
    </row>
    <row r="1101" spans="1:7" outlineLevel="1" collapsed="1" x14ac:dyDescent="0.3">
      <c r="B1101" s="1" t="s">
        <v>1233</v>
      </c>
      <c r="D1101" t="str">
        <f>D1100</f>
        <v>Male</v>
      </c>
      <c r="G1101">
        <f>SUBTOTAL(9,G1100:G1100)</f>
        <v>4.74</v>
      </c>
    </row>
    <row r="1102" spans="1:7" hidden="1" outlineLevel="2" x14ac:dyDescent="0.3">
      <c r="A1102">
        <v>716</v>
      </c>
      <c r="B1102" t="s">
        <v>726</v>
      </c>
      <c r="C1102">
        <v>23</v>
      </c>
      <c r="D1102" t="s">
        <v>8</v>
      </c>
      <c r="E1102">
        <v>106</v>
      </c>
      <c r="F1102" t="s">
        <v>420</v>
      </c>
      <c r="G1102">
        <v>3.41</v>
      </c>
    </row>
    <row r="1103" spans="1:7" outlineLevel="1" collapsed="1" x14ac:dyDescent="0.3">
      <c r="B1103" s="1" t="s">
        <v>1234</v>
      </c>
      <c r="D1103" t="str">
        <f>D1102</f>
        <v>Male</v>
      </c>
      <c r="G1103">
        <f>SUBTOTAL(9,G1102:G1102)</f>
        <v>3.41</v>
      </c>
    </row>
    <row r="1104" spans="1:7" hidden="1" outlineLevel="2" x14ac:dyDescent="0.3">
      <c r="A1104">
        <v>250</v>
      </c>
      <c r="B1104" t="s">
        <v>368</v>
      </c>
      <c r="C1104">
        <v>23</v>
      </c>
      <c r="D1104" t="s">
        <v>8</v>
      </c>
      <c r="E1104">
        <v>87</v>
      </c>
      <c r="F1104" t="s">
        <v>210</v>
      </c>
      <c r="G1104">
        <v>4.43</v>
      </c>
    </row>
    <row r="1105" spans="1:7" outlineLevel="1" collapsed="1" x14ac:dyDescent="0.3">
      <c r="B1105" s="1" t="s">
        <v>1235</v>
      </c>
      <c r="D1105" t="str">
        <f>D1104</f>
        <v>Male</v>
      </c>
      <c r="G1105">
        <f>SUBTOTAL(9,G1104:G1104)</f>
        <v>4.43</v>
      </c>
    </row>
    <row r="1106" spans="1:7" hidden="1" outlineLevel="2" x14ac:dyDescent="0.3">
      <c r="A1106">
        <v>14</v>
      </c>
      <c r="B1106" t="s">
        <v>36</v>
      </c>
      <c r="C1106">
        <v>35</v>
      </c>
      <c r="D1106" t="s">
        <v>8</v>
      </c>
      <c r="E1106">
        <v>165</v>
      </c>
      <c r="F1106" t="s">
        <v>37</v>
      </c>
      <c r="G1106">
        <v>4.8600000000000003</v>
      </c>
    </row>
    <row r="1107" spans="1:7" hidden="1" outlineLevel="2" x14ac:dyDescent="0.3">
      <c r="A1107">
        <v>264</v>
      </c>
      <c r="B1107" t="s">
        <v>36</v>
      </c>
      <c r="C1107">
        <v>35</v>
      </c>
      <c r="D1107" t="s">
        <v>8</v>
      </c>
      <c r="E1107">
        <v>119</v>
      </c>
      <c r="F1107" t="s">
        <v>66</v>
      </c>
      <c r="G1107">
        <v>4.32</v>
      </c>
    </row>
    <row r="1108" spans="1:7" outlineLevel="1" collapsed="1" x14ac:dyDescent="0.3">
      <c r="B1108" s="1" t="s">
        <v>1236</v>
      </c>
      <c r="D1108" t="str">
        <f>D1107</f>
        <v>Male</v>
      </c>
      <c r="G1108">
        <f>SUBTOTAL(9,G1106:G1107)</f>
        <v>9.18</v>
      </c>
    </row>
    <row r="1109" spans="1:7" hidden="1" outlineLevel="2" x14ac:dyDescent="0.3">
      <c r="A1109">
        <v>260</v>
      </c>
      <c r="B1109" t="s">
        <v>378</v>
      </c>
      <c r="C1109">
        <v>16</v>
      </c>
      <c r="D1109" t="s">
        <v>8</v>
      </c>
      <c r="E1109">
        <v>70</v>
      </c>
      <c r="F1109" t="s">
        <v>379</v>
      </c>
      <c r="G1109">
        <v>1.03</v>
      </c>
    </row>
    <row r="1110" spans="1:7" outlineLevel="1" collapsed="1" x14ac:dyDescent="0.3">
      <c r="B1110" s="1" t="s">
        <v>1237</v>
      </c>
      <c r="D1110" t="str">
        <f>D1109</f>
        <v>Male</v>
      </c>
      <c r="G1110">
        <f>SUBTOTAL(9,G1109:G1109)</f>
        <v>1.03</v>
      </c>
    </row>
    <row r="1111" spans="1:7" hidden="1" outlineLevel="2" x14ac:dyDescent="0.3">
      <c r="A1111">
        <v>374</v>
      </c>
      <c r="B1111" t="s">
        <v>487</v>
      </c>
      <c r="C1111">
        <v>16</v>
      </c>
      <c r="D1111" t="s">
        <v>8</v>
      </c>
      <c r="E1111">
        <v>85</v>
      </c>
      <c r="F1111" t="s">
        <v>193</v>
      </c>
      <c r="G1111">
        <v>1.75</v>
      </c>
    </row>
    <row r="1112" spans="1:7" outlineLevel="1" collapsed="1" x14ac:dyDescent="0.3">
      <c r="B1112" s="1" t="s">
        <v>1238</v>
      </c>
      <c r="D1112" t="str">
        <f>D1111</f>
        <v>Male</v>
      </c>
      <c r="G1112">
        <f>SUBTOTAL(9,G1111:G1111)</f>
        <v>1.75</v>
      </c>
    </row>
    <row r="1113" spans="1:7" hidden="1" outlineLevel="2" x14ac:dyDescent="0.3">
      <c r="A1113">
        <v>372</v>
      </c>
      <c r="B1113" t="s">
        <v>485</v>
      </c>
      <c r="C1113">
        <v>35</v>
      </c>
      <c r="D1113" t="s">
        <v>8</v>
      </c>
      <c r="E1113">
        <v>64</v>
      </c>
      <c r="F1113" t="s">
        <v>486</v>
      </c>
      <c r="G1113">
        <v>4.82</v>
      </c>
    </row>
    <row r="1114" spans="1:7" hidden="1" outlineLevel="2" x14ac:dyDescent="0.3">
      <c r="A1114">
        <v>483</v>
      </c>
      <c r="B1114" t="s">
        <v>485</v>
      </c>
      <c r="C1114">
        <v>35</v>
      </c>
      <c r="D1114" t="s">
        <v>8</v>
      </c>
      <c r="E1114">
        <v>108</v>
      </c>
      <c r="F1114" t="s">
        <v>9</v>
      </c>
      <c r="G1114">
        <v>3.53</v>
      </c>
    </row>
    <row r="1115" spans="1:7" hidden="1" outlineLevel="2" x14ac:dyDescent="0.3">
      <c r="A1115">
        <v>688</v>
      </c>
      <c r="B1115" t="s">
        <v>485</v>
      </c>
      <c r="C1115">
        <v>35</v>
      </c>
      <c r="D1115" t="s">
        <v>8</v>
      </c>
      <c r="E1115">
        <v>29</v>
      </c>
      <c r="F1115" t="s">
        <v>140</v>
      </c>
      <c r="G1115">
        <v>1.98</v>
      </c>
    </row>
    <row r="1116" spans="1:7" outlineLevel="1" collapsed="1" x14ac:dyDescent="0.3">
      <c r="B1116" s="1" t="s">
        <v>1239</v>
      </c>
      <c r="D1116" t="str">
        <f>D1115</f>
        <v>Male</v>
      </c>
      <c r="G1116">
        <f>SUBTOTAL(9,G1113:G1115)</f>
        <v>10.33</v>
      </c>
    </row>
    <row r="1117" spans="1:7" hidden="1" outlineLevel="2" x14ac:dyDescent="0.3">
      <c r="A1117">
        <v>480</v>
      </c>
      <c r="B1117" t="s">
        <v>577</v>
      </c>
      <c r="C1117">
        <v>40</v>
      </c>
      <c r="D1117" t="s">
        <v>8</v>
      </c>
      <c r="E1117">
        <v>59</v>
      </c>
      <c r="F1117" t="s">
        <v>169</v>
      </c>
      <c r="G1117">
        <v>4.2300000000000004</v>
      </c>
    </row>
    <row r="1118" spans="1:7" outlineLevel="1" collapsed="1" x14ac:dyDescent="0.3">
      <c r="B1118" s="1" t="s">
        <v>1240</v>
      </c>
      <c r="D1118" t="str">
        <f>D1117</f>
        <v>Male</v>
      </c>
      <c r="G1118">
        <f>SUBTOTAL(9,G1117:G1117)</f>
        <v>4.2300000000000004</v>
      </c>
    </row>
    <row r="1119" spans="1:7" hidden="1" outlineLevel="2" x14ac:dyDescent="0.3">
      <c r="A1119">
        <v>512</v>
      </c>
      <c r="B1119" t="s">
        <v>600</v>
      </c>
      <c r="C1119">
        <v>35</v>
      </c>
      <c r="D1119" t="s">
        <v>8</v>
      </c>
      <c r="E1119">
        <v>169</v>
      </c>
      <c r="F1119" t="s">
        <v>21</v>
      </c>
      <c r="G1119">
        <v>2.1800000000000002</v>
      </c>
    </row>
    <row r="1120" spans="1:7" outlineLevel="1" collapsed="1" x14ac:dyDescent="0.3">
      <c r="B1120" s="1" t="s">
        <v>1241</v>
      </c>
      <c r="D1120" t="str">
        <f>D1119</f>
        <v>Male</v>
      </c>
      <c r="G1120">
        <f>SUBTOTAL(9,G1119:G1119)</f>
        <v>2.1800000000000002</v>
      </c>
    </row>
    <row r="1121" spans="1:7" hidden="1" outlineLevel="2" x14ac:dyDescent="0.3">
      <c r="A1121">
        <v>415</v>
      </c>
      <c r="B1121" t="s">
        <v>525</v>
      </c>
      <c r="C1121">
        <v>22</v>
      </c>
      <c r="D1121" t="s">
        <v>8</v>
      </c>
      <c r="E1121">
        <v>120</v>
      </c>
      <c r="F1121" t="s">
        <v>225</v>
      </c>
      <c r="G1121">
        <v>3.08</v>
      </c>
    </row>
    <row r="1122" spans="1:7" hidden="1" outlineLevel="2" x14ac:dyDescent="0.3">
      <c r="A1122">
        <v>640</v>
      </c>
      <c r="B1122" t="s">
        <v>525</v>
      </c>
      <c r="C1122">
        <v>22</v>
      </c>
      <c r="D1122" t="s">
        <v>8</v>
      </c>
      <c r="E1122">
        <v>108</v>
      </c>
      <c r="F1122" t="s">
        <v>9</v>
      </c>
      <c r="G1122">
        <v>3.53</v>
      </c>
    </row>
    <row r="1123" spans="1:7" outlineLevel="1" collapsed="1" x14ac:dyDescent="0.3">
      <c r="B1123" s="1" t="s">
        <v>1242</v>
      </c>
      <c r="D1123" t="str">
        <f>D1122</f>
        <v>Male</v>
      </c>
      <c r="G1123">
        <f>SUBTOTAL(9,G1121:G1122)</f>
        <v>6.6099999999999994</v>
      </c>
    </row>
    <row r="1124" spans="1:7" hidden="1" outlineLevel="2" x14ac:dyDescent="0.3">
      <c r="A1124">
        <v>589</v>
      </c>
      <c r="B1124" t="s">
        <v>651</v>
      </c>
      <c r="C1124">
        <v>30</v>
      </c>
      <c r="D1124" t="s">
        <v>8</v>
      </c>
      <c r="E1124">
        <v>106</v>
      </c>
      <c r="F1124" t="s">
        <v>420</v>
      </c>
      <c r="G1124">
        <v>3.41</v>
      </c>
    </row>
    <row r="1125" spans="1:7" outlineLevel="1" collapsed="1" x14ac:dyDescent="0.3">
      <c r="B1125" s="1" t="s">
        <v>1243</v>
      </c>
      <c r="D1125" t="str">
        <f>D1124</f>
        <v>Male</v>
      </c>
      <c r="G1125">
        <f>SUBTOTAL(9,G1124:G1124)</f>
        <v>3.41</v>
      </c>
    </row>
    <row r="1126" spans="1:7" hidden="1" outlineLevel="2" x14ac:dyDescent="0.3">
      <c r="A1126">
        <v>602</v>
      </c>
      <c r="B1126" t="s">
        <v>660</v>
      </c>
      <c r="C1126">
        <v>20</v>
      </c>
      <c r="D1126" t="s">
        <v>8</v>
      </c>
      <c r="E1126">
        <v>65</v>
      </c>
      <c r="F1126" t="s">
        <v>262</v>
      </c>
      <c r="G1126">
        <v>4.24</v>
      </c>
    </row>
    <row r="1127" spans="1:7" hidden="1" outlineLevel="2" x14ac:dyDescent="0.3">
      <c r="A1127">
        <v>621</v>
      </c>
      <c r="B1127" t="s">
        <v>660</v>
      </c>
      <c r="C1127">
        <v>20</v>
      </c>
      <c r="D1127" t="s">
        <v>8</v>
      </c>
      <c r="E1127">
        <v>26</v>
      </c>
      <c r="F1127" t="s">
        <v>527</v>
      </c>
      <c r="G1127">
        <v>1.1200000000000001</v>
      </c>
    </row>
    <row r="1128" spans="1:7" outlineLevel="1" collapsed="1" x14ac:dyDescent="0.3">
      <c r="B1128" s="1" t="s">
        <v>1244</v>
      </c>
      <c r="D1128" t="str">
        <f>D1127</f>
        <v>Male</v>
      </c>
      <c r="G1128">
        <f>SUBTOTAL(9,G1126:G1127)</f>
        <v>5.36</v>
      </c>
    </row>
    <row r="1129" spans="1:7" hidden="1" outlineLevel="2" x14ac:dyDescent="0.3">
      <c r="A1129">
        <v>123</v>
      </c>
      <c r="B1129" t="s">
        <v>214</v>
      </c>
      <c r="C1129">
        <v>27</v>
      </c>
      <c r="D1129" t="s">
        <v>8</v>
      </c>
      <c r="E1129">
        <v>81</v>
      </c>
      <c r="F1129" t="s">
        <v>19</v>
      </c>
      <c r="G1129">
        <v>3.61</v>
      </c>
    </row>
    <row r="1130" spans="1:7" hidden="1" outlineLevel="2" x14ac:dyDescent="0.3">
      <c r="A1130">
        <v>596</v>
      </c>
      <c r="B1130" t="s">
        <v>214</v>
      </c>
      <c r="C1130">
        <v>27</v>
      </c>
      <c r="D1130" t="s">
        <v>8</v>
      </c>
      <c r="E1130">
        <v>146</v>
      </c>
      <c r="F1130" t="s">
        <v>231</v>
      </c>
      <c r="G1130">
        <v>3.1</v>
      </c>
    </row>
    <row r="1131" spans="1:7" outlineLevel="1" collapsed="1" x14ac:dyDescent="0.3">
      <c r="B1131" s="1" t="s">
        <v>1245</v>
      </c>
      <c r="D1131" t="str">
        <f>D1130</f>
        <v>Male</v>
      </c>
      <c r="G1131">
        <f>SUBTOTAL(9,G1129:G1130)</f>
        <v>6.71</v>
      </c>
    </row>
    <row r="1132" spans="1:7" hidden="1" outlineLevel="2" x14ac:dyDescent="0.3">
      <c r="A1132">
        <v>37</v>
      </c>
      <c r="B1132" t="s">
        <v>83</v>
      </c>
      <c r="C1132">
        <v>8</v>
      </c>
      <c r="D1132" t="s">
        <v>8</v>
      </c>
      <c r="E1132">
        <v>73</v>
      </c>
      <c r="F1132" t="s">
        <v>84</v>
      </c>
      <c r="G1132">
        <v>2.0499999999999998</v>
      </c>
    </row>
    <row r="1133" spans="1:7" outlineLevel="1" collapsed="1" x14ac:dyDescent="0.3">
      <c r="B1133" s="1" t="s">
        <v>1246</v>
      </c>
      <c r="D1133" t="str">
        <f>D1132</f>
        <v>Male</v>
      </c>
      <c r="G1133">
        <f>SUBTOTAL(9,G1132:G1132)</f>
        <v>2.0499999999999998</v>
      </c>
    </row>
    <row r="1134" spans="1:7" hidden="1" outlineLevel="2" x14ac:dyDescent="0.3">
      <c r="A1134">
        <v>212</v>
      </c>
      <c r="B1134" t="s">
        <v>326</v>
      </c>
      <c r="C1134">
        <v>23</v>
      </c>
      <c r="D1134" t="s">
        <v>8</v>
      </c>
      <c r="E1134">
        <v>159</v>
      </c>
      <c r="F1134" t="s">
        <v>327</v>
      </c>
      <c r="G1134">
        <v>3.08</v>
      </c>
    </row>
    <row r="1135" spans="1:7" outlineLevel="1" collapsed="1" x14ac:dyDescent="0.3">
      <c r="B1135" s="1" t="s">
        <v>1247</v>
      </c>
      <c r="D1135" t="str">
        <f>D1134</f>
        <v>Male</v>
      </c>
      <c r="G1135">
        <f>SUBTOTAL(9,G1134:G1134)</f>
        <v>3.08</v>
      </c>
    </row>
    <row r="1136" spans="1:7" hidden="1" outlineLevel="2" x14ac:dyDescent="0.3">
      <c r="A1136">
        <v>540</v>
      </c>
      <c r="B1136" t="s">
        <v>620</v>
      </c>
      <c r="C1136">
        <v>29</v>
      </c>
      <c r="D1136" t="s">
        <v>8</v>
      </c>
      <c r="E1136">
        <v>7</v>
      </c>
      <c r="F1136" t="s">
        <v>90</v>
      </c>
      <c r="G1136">
        <v>1.33</v>
      </c>
    </row>
    <row r="1137" spans="1:7" outlineLevel="1" collapsed="1" x14ac:dyDescent="0.3">
      <c r="B1137" s="1" t="s">
        <v>1248</v>
      </c>
      <c r="D1137" t="str">
        <f>D1136</f>
        <v>Male</v>
      </c>
      <c r="G1137">
        <f>SUBTOTAL(9,G1136:G1136)</f>
        <v>1.33</v>
      </c>
    </row>
    <row r="1138" spans="1:7" hidden="1" outlineLevel="2" x14ac:dyDescent="0.3">
      <c r="A1138">
        <v>24</v>
      </c>
      <c r="B1138" t="s">
        <v>57</v>
      </c>
      <c r="C1138">
        <v>30</v>
      </c>
      <c r="D1138" t="s">
        <v>8</v>
      </c>
      <c r="E1138">
        <v>141</v>
      </c>
      <c r="F1138" t="s">
        <v>58</v>
      </c>
      <c r="G1138">
        <v>3.19</v>
      </c>
    </row>
    <row r="1139" spans="1:7" hidden="1" outlineLevel="2" x14ac:dyDescent="0.3">
      <c r="A1139">
        <v>266</v>
      </c>
      <c r="B1139" t="s">
        <v>57</v>
      </c>
      <c r="C1139">
        <v>30</v>
      </c>
      <c r="D1139" t="s">
        <v>8</v>
      </c>
      <c r="E1139">
        <v>113</v>
      </c>
      <c r="F1139" t="s">
        <v>309</v>
      </c>
      <c r="G1139">
        <v>4.07</v>
      </c>
    </row>
    <row r="1140" spans="1:7" outlineLevel="1" collapsed="1" x14ac:dyDescent="0.3">
      <c r="B1140" s="1" t="s">
        <v>1249</v>
      </c>
      <c r="D1140" t="str">
        <f>D1139</f>
        <v>Male</v>
      </c>
      <c r="G1140">
        <f>SUBTOTAL(9,G1138:G1139)</f>
        <v>7.26</v>
      </c>
    </row>
    <row r="1141" spans="1:7" hidden="1" outlineLevel="2" x14ac:dyDescent="0.3">
      <c r="A1141">
        <v>302</v>
      </c>
      <c r="B1141" t="s">
        <v>421</v>
      </c>
      <c r="C1141">
        <v>20</v>
      </c>
      <c r="D1141" t="s">
        <v>8</v>
      </c>
      <c r="E1141">
        <v>4</v>
      </c>
      <c r="F1141" t="s">
        <v>35</v>
      </c>
      <c r="G1141">
        <v>1.7</v>
      </c>
    </row>
    <row r="1142" spans="1:7" hidden="1" outlineLevel="2" x14ac:dyDescent="0.3">
      <c r="A1142">
        <v>305</v>
      </c>
      <c r="B1142" t="s">
        <v>421</v>
      </c>
      <c r="C1142">
        <v>20</v>
      </c>
      <c r="D1142" t="s">
        <v>8</v>
      </c>
      <c r="E1142">
        <v>179</v>
      </c>
      <c r="F1142" t="s">
        <v>72</v>
      </c>
      <c r="G1142">
        <v>4.4800000000000004</v>
      </c>
    </row>
    <row r="1143" spans="1:7" hidden="1" outlineLevel="2" x14ac:dyDescent="0.3">
      <c r="A1143">
        <v>536</v>
      </c>
      <c r="B1143" t="s">
        <v>421</v>
      </c>
      <c r="C1143">
        <v>20</v>
      </c>
      <c r="D1143" t="s">
        <v>8</v>
      </c>
      <c r="E1143">
        <v>101</v>
      </c>
      <c r="F1143" t="s">
        <v>13</v>
      </c>
      <c r="G1143">
        <v>4.1900000000000004</v>
      </c>
    </row>
    <row r="1144" spans="1:7" outlineLevel="1" collapsed="1" x14ac:dyDescent="0.3">
      <c r="B1144" s="1" t="s">
        <v>1250</v>
      </c>
      <c r="D1144" t="str">
        <f>D1143</f>
        <v>Male</v>
      </c>
      <c r="G1144">
        <f>SUBTOTAL(9,G1141:G1143)</f>
        <v>10.370000000000001</v>
      </c>
    </row>
    <row r="1145" spans="1:7" hidden="1" outlineLevel="2" x14ac:dyDescent="0.3">
      <c r="A1145">
        <v>413</v>
      </c>
      <c r="B1145" t="s">
        <v>522</v>
      </c>
      <c r="C1145">
        <v>12</v>
      </c>
      <c r="D1145" t="s">
        <v>8</v>
      </c>
      <c r="E1145">
        <v>93</v>
      </c>
      <c r="F1145" t="s">
        <v>523</v>
      </c>
      <c r="G1145">
        <v>1.97</v>
      </c>
    </row>
    <row r="1146" spans="1:7" outlineLevel="1" collapsed="1" x14ac:dyDescent="0.3">
      <c r="B1146" s="1" t="s">
        <v>1251</v>
      </c>
      <c r="D1146" t="str">
        <f>D1145</f>
        <v>Male</v>
      </c>
      <c r="G1146">
        <f>SUBTOTAL(9,G1145:G1145)</f>
        <v>1.97</v>
      </c>
    </row>
    <row r="1147" spans="1:7" hidden="1" outlineLevel="2" x14ac:dyDescent="0.3">
      <c r="A1147">
        <v>163</v>
      </c>
      <c r="B1147" t="s">
        <v>261</v>
      </c>
      <c r="C1147">
        <v>11</v>
      </c>
      <c r="D1147" t="s">
        <v>8</v>
      </c>
      <c r="E1147">
        <v>65</v>
      </c>
      <c r="F1147" t="s">
        <v>262</v>
      </c>
      <c r="G1147">
        <v>4.24</v>
      </c>
    </row>
    <row r="1148" spans="1:7" outlineLevel="1" collapsed="1" x14ac:dyDescent="0.3">
      <c r="B1148" s="1" t="s">
        <v>1252</v>
      </c>
      <c r="D1148" t="str">
        <f>D1147</f>
        <v>Male</v>
      </c>
      <c r="G1148">
        <f>SUBTOTAL(9,G1147:G1147)</f>
        <v>4.24</v>
      </c>
    </row>
    <row r="1149" spans="1:7" hidden="1" outlineLevel="2" x14ac:dyDescent="0.3">
      <c r="A1149">
        <v>529</v>
      </c>
      <c r="B1149" t="s">
        <v>612</v>
      </c>
      <c r="C1149">
        <v>21</v>
      </c>
      <c r="D1149" t="s">
        <v>8</v>
      </c>
      <c r="E1149">
        <v>142</v>
      </c>
      <c r="F1149" t="s">
        <v>338</v>
      </c>
      <c r="G1149">
        <v>2.62</v>
      </c>
    </row>
    <row r="1150" spans="1:7" hidden="1" outlineLevel="2" x14ac:dyDescent="0.3">
      <c r="A1150">
        <v>612</v>
      </c>
      <c r="B1150" t="s">
        <v>612</v>
      </c>
      <c r="C1150">
        <v>21</v>
      </c>
      <c r="D1150" t="s">
        <v>8</v>
      </c>
      <c r="E1150">
        <v>52</v>
      </c>
      <c r="F1150" t="s">
        <v>415</v>
      </c>
      <c r="G1150">
        <v>4.84</v>
      </c>
    </row>
    <row r="1151" spans="1:7" hidden="1" outlineLevel="2" x14ac:dyDescent="0.3">
      <c r="A1151">
        <v>657</v>
      </c>
      <c r="B1151" t="s">
        <v>612</v>
      </c>
      <c r="C1151">
        <v>21</v>
      </c>
      <c r="D1151" t="s">
        <v>8</v>
      </c>
      <c r="E1151">
        <v>19</v>
      </c>
      <c r="F1151" t="s">
        <v>358</v>
      </c>
      <c r="G1151">
        <v>1.02</v>
      </c>
    </row>
    <row r="1152" spans="1:7" outlineLevel="1" collapsed="1" x14ac:dyDescent="0.3">
      <c r="B1152" s="1" t="s">
        <v>1253</v>
      </c>
      <c r="D1152" t="str">
        <f>D1151</f>
        <v>Male</v>
      </c>
      <c r="G1152">
        <f>SUBTOTAL(9,G1149:G1151)</f>
        <v>8.48</v>
      </c>
    </row>
    <row r="1153" spans="1:7" hidden="1" outlineLevel="2" x14ac:dyDescent="0.3">
      <c r="A1153">
        <v>396</v>
      </c>
      <c r="B1153" t="s">
        <v>509</v>
      </c>
      <c r="C1153">
        <v>20</v>
      </c>
      <c r="D1153" t="s">
        <v>8</v>
      </c>
      <c r="E1153">
        <v>131</v>
      </c>
      <c r="F1153" t="s">
        <v>17</v>
      </c>
      <c r="G1153">
        <v>1.44</v>
      </c>
    </row>
    <row r="1154" spans="1:7" hidden="1" outlineLevel="2" x14ac:dyDescent="0.3">
      <c r="A1154">
        <v>535</v>
      </c>
      <c r="B1154" t="s">
        <v>509</v>
      </c>
      <c r="C1154">
        <v>20</v>
      </c>
      <c r="D1154" t="s">
        <v>8</v>
      </c>
      <c r="E1154">
        <v>155</v>
      </c>
      <c r="F1154" t="s">
        <v>399</v>
      </c>
      <c r="G1154">
        <v>1.01</v>
      </c>
    </row>
    <row r="1155" spans="1:7" outlineLevel="1" collapsed="1" x14ac:dyDescent="0.3">
      <c r="B1155" s="1" t="s">
        <v>1254</v>
      </c>
      <c r="D1155" t="str">
        <f>D1154</f>
        <v>Male</v>
      </c>
      <c r="G1155">
        <f>SUBTOTAL(9,G1153:G1154)</f>
        <v>2.4500000000000002</v>
      </c>
    </row>
    <row r="1156" spans="1:7" hidden="1" outlineLevel="2" x14ac:dyDescent="0.3">
      <c r="A1156">
        <v>778</v>
      </c>
      <c r="B1156" t="s">
        <v>764</v>
      </c>
      <c r="C1156">
        <v>7</v>
      </c>
      <c r="D1156" t="s">
        <v>8</v>
      </c>
      <c r="E1156">
        <v>101</v>
      </c>
      <c r="F1156" t="s">
        <v>13</v>
      </c>
      <c r="G1156">
        <v>4.1900000000000004</v>
      </c>
    </row>
    <row r="1157" spans="1:7" outlineLevel="1" collapsed="1" x14ac:dyDescent="0.3">
      <c r="B1157" s="1" t="s">
        <v>1255</v>
      </c>
      <c r="D1157" t="str">
        <f>D1156</f>
        <v>Male</v>
      </c>
      <c r="G1157">
        <f>SUBTOTAL(9,G1156:G1156)</f>
        <v>4.1900000000000004</v>
      </c>
    </row>
    <row r="1158" spans="1:7" hidden="1" outlineLevel="2" x14ac:dyDescent="0.3">
      <c r="A1158">
        <v>275</v>
      </c>
      <c r="B1158" t="s">
        <v>391</v>
      </c>
      <c r="C1158">
        <v>30</v>
      </c>
      <c r="D1158" t="s">
        <v>8</v>
      </c>
      <c r="E1158">
        <v>173</v>
      </c>
      <c r="F1158" t="s">
        <v>392</v>
      </c>
      <c r="G1158">
        <v>4.93</v>
      </c>
    </row>
    <row r="1159" spans="1:7" hidden="1" outlineLevel="2" x14ac:dyDescent="0.3">
      <c r="A1159">
        <v>650</v>
      </c>
      <c r="B1159" t="s">
        <v>391</v>
      </c>
      <c r="C1159">
        <v>30</v>
      </c>
      <c r="D1159" t="s">
        <v>8</v>
      </c>
      <c r="E1159">
        <v>161</v>
      </c>
      <c r="F1159" t="s">
        <v>44</v>
      </c>
      <c r="G1159">
        <v>1.76</v>
      </c>
    </row>
    <row r="1160" spans="1:7" outlineLevel="1" collapsed="1" x14ac:dyDescent="0.3">
      <c r="B1160" s="1" t="s">
        <v>1256</v>
      </c>
      <c r="D1160" t="str">
        <f>D1159</f>
        <v>Male</v>
      </c>
      <c r="G1160">
        <f>SUBTOTAL(9,G1158:G1159)</f>
        <v>6.6899999999999995</v>
      </c>
    </row>
    <row r="1161" spans="1:7" hidden="1" outlineLevel="2" x14ac:dyDescent="0.3">
      <c r="A1161">
        <v>546</v>
      </c>
      <c r="B1161" t="s">
        <v>624</v>
      </c>
      <c r="C1161">
        <v>9</v>
      </c>
      <c r="D1161" t="s">
        <v>8</v>
      </c>
      <c r="E1161">
        <v>159</v>
      </c>
      <c r="F1161" t="s">
        <v>327</v>
      </c>
      <c r="G1161">
        <v>3.08</v>
      </c>
    </row>
    <row r="1162" spans="1:7" hidden="1" outlineLevel="2" x14ac:dyDescent="0.3">
      <c r="A1162">
        <v>575</v>
      </c>
      <c r="B1162" t="s">
        <v>624</v>
      </c>
      <c r="C1162">
        <v>9</v>
      </c>
      <c r="D1162" t="s">
        <v>8</v>
      </c>
      <c r="E1162">
        <v>137</v>
      </c>
      <c r="F1162" t="s">
        <v>330</v>
      </c>
      <c r="G1162">
        <v>3.39</v>
      </c>
    </row>
    <row r="1163" spans="1:7" outlineLevel="1" collapsed="1" x14ac:dyDescent="0.3">
      <c r="B1163" s="1" t="s">
        <v>1257</v>
      </c>
      <c r="D1163" t="str">
        <f>D1162</f>
        <v>Male</v>
      </c>
      <c r="G1163">
        <f>SUBTOTAL(9,G1161:G1162)</f>
        <v>6.4700000000000006</v>
      </c>
    </row>
    <row r="1164" spans="1:7" hidden="1" outlineLevel="2" x14ac:dyDescent="0.3">
      <c r="A1164">
        <v>108</v>
      </c>
      <c r="B1164" t="s">
        <v>192</v>
      </c>
      <c r="C1164">
        <v>19</v>
      </c>
      <c r="D1164" t="s">
        <v>8</v>
      </c>
      <c r="E1164">
        <v>85</v>
      </c>
      <c r="F1164" t="s">
        <v>193</v>
      </c>
      <c r="G1164">
        <v>1.75</v>
      </c>
    </row>
    <row r="1165" spans="1:7" outlineLevel="1" collapsed="1" x14ac:dyDescent="0.3">
      <c r="B1165" s="1" t="s">
        <v>1258</v>
      </c>
      <c r="D1165" t="str">
        <f>D1164</f>
        <v>Male</v>
      </c>
      <c r="G1165">
        <f>SUBTOTAL(9,G1164:G1164)</f>
        <v>1.75</v>
      </c>
    </row>
    <row r="1166" spans="1:7" hidden="1" outlineLevel="2" x14ac:dyDescent="0.3">
      <c r="A1166">
        <v>537</v>
      </c>
      <c r="B1166" t="s">
        <v>617</v>
      </c>
      <c r="C1166">
        <v>25</v>
      </c>
      <c r="D1166" t="s">
        <v>8</v>
      </c>
      <c r="E1166">
        <v>112</v>
      </c>
      <c r="F1166" t="s">
        <v>566</v>
      </c>
      <c r="G1166">
        <v>2.6</v>
      </c>
    </row>
    <row r="1167" spans="1:7" outlineLevel="1" collapsed="1" x14ac:dyDescent="0.3">
      <c r="B1167" s="1" t="s">
        <v>1259</v>
      </c>
      <c r="D1167" t="str">
        <f>D1166</f>
        <v>Male</v>
      </c>
      <c r="G1167">
        <f>SUBTOTAL(9,G1166:G1166)</f>
        <v>2.6</v>
      </c>
    </row>
    <row r="1168" spans="1:7" hidden="1" outlineLevel="2" x14ac:dyDescent="0.3">
      <c r="A1168">
        <v>207</v>
      </c>
      <c r="B1168" t="s">
        <v>322</v>
      </c>
      <c r="C1168">
        <v>24</v>
      </c>
      <c r="D1168" t="s">
        <v>8</v>
      </c>
      <c r="E1168">
        <v>145</v>
      </c>
      <c r="F1168" t="s">
        <v>227</v>
      </c>
      <c r="G1168">
        <v>4.58</v>
      </c>
    </row>
    <row r="1169" spans="1:7" hidden="1" outlineLevel="2" x14ac:dyDescent="0.3">
      <c r="A1169">
        <v>255</v>
      </c>
      <c r="B1169" t="s">
        <v>322</v>
      </c>
      <c r="C1169">
        <v>24</v>
      </c>
      <c r="D1169" t="s">
        <v>8</v>
      </c>
      <c r="E1169">
        <v>71</v>
      </c>
      <c r="F1169" t="s">
        <v>62</v>
      </c>
      <c r="G1169">
        <v>1.61</v>
      </c>
    </row>
    <row r="1170" spans="1:7" hidden="1" outlineLevel="2" x14ac:dyDescent="0.3">
      <c r="A1170">
        <v>465</v>
      </c>
      <c r="B1170" t="s">
        <v>322</v>
      </c>
      <c r="C1170">
        <v>24</v>
      </c>
      <c r="D1170" t="s">
        <v>8</v>
      </c>
      <c r="E1170">
        <v>4</v>
      </c>
      <c r="F1170" t="s">
        <v>35</v>
      </c>
      <c r="G1170">
        <v>1.7</v>
      </c>
    </row>
    <row r="1171" spans="1:7" outlineLevel="1" collapsed="1" x14ac:dyDescent="0.3">
      <c r="B1171" s="1" t="s">
        <v>1260</v>
      </c>
      <c r="D1171" t="str">
        <f>D1170</f>
        <v>Male</v>
      </c>
      <c r="G1171">
        <f>SUBTOTAL(9,G1168:G1170)</f>
        <v>7.8900000000000006</v>
      </c>
    </row>
    <row r="1172" spans="1:7" hidden="1" outlineLevel="2" x14ac:dyDescent="0.3">
      <c r="A1172">
        <v>39</v>
      </c>
      <c r="B1172" t="s">
        <v>86</v>
      </c>
      <c r="C1172">
        <v>21</v>
      </c>
      <c r="D1172" t="s">
        <v>8</v>
      </c>
      <c r="E1172">
        <v>172</v>
      </c>
      <c r="F1172" t="s">
        <v>87</v>
      </c>
      <c r="G1172">
        <v>3.14</v>
      </c>
    </row>
    <row r="1173" spans="1:7" outlineLevel="1" collapsed="1" x14ac:dyDescent="0.3">
      <c r="B1173" s="1" t="s">
        <v>1261</v>
      </c>
      <c r="D1173" t="str">
        <f>D1172</f>
        <v>Male</v>
      </c>
      <c r="G1173">
        <f>SUBTOTAL(9,G1172:G1172)</f>
        <v>3.14</v>
      </c>
    </row>
    <row r="1174" spans="1:7" hidden="1" outlineLevel="2" x14ac:dyDescent="0.3">
      <c r="A1174">
        <v>34</v>
      </c>
      <c r="B1174" t="s">
        <v>77</v>
      </c>
      <c r="C1174">
        <v>19</v>
      </c>
      <c r="D1174" t="s">
        <v>8</v>
      </c>
      <c r="E1174">
        <v>160</v>
      </c>
      <c r="F1174" t="s">
        <v>78</v>
      </c>
      <c r="G1174">
        <v>4.4000000000000004</v>
      </c>
    </row>
    <row r="1175" spans="1:7" outlineLevel="1" collapsed="1" x14ac:dyDescent="0.3">
      <c r="B1175" s="1" t="s">
        <v>1262</v>
      </c>
      <c r="D1175" t="str">
        <f>D1174</f>
        <v>Male</v>
      </c>
      <c r="G1175">
        <f>SUBTOTAL(9,G1174:G1174)</f>
        <v>4.4000000000000004</v>
      </c>
    </row>
    <row r="1176" spans="1:7" hidden="1" outlineLevel="2" x14ac:dyDescent="0.3">
      <c r="A1176">
        <v>281</v>
      </c>
      <c r="B1176" t="s">
        <v>397</v>
      </c>
      <c r="C1176">
        <v>19</v>
      </c>
      <c r="D1176" t="s">
        <v>8</v>
      </c>
      <c r="E1176">
        <v>68</v>
      </c>
      <c r="F1176" t="s">
        <v>143</v>
      </c>
      <c r="G1176">
        <v>4.32</v>
      </c>
    </row>
    <row r="1177" spans="1:7" outlineLevel="1" collapsed="1" x14ac:dyDescent="0.3">
      <c r="B1177" s="1" t="s">
        <v>1263</v>
      </c>
      <c r="D1177" t="str">
        <f>D1176</f>
        <v>Male</v>
      </c>
      <c r="G1177">
        <f>SUBTOTAL(9,G1176:G1176)</f>
        <v>4.32</v>
      </c>
    </row>
    <row r="1178" spans="1:7" hidden="1" outlineLevel="2" x14ac:dyDescent="0.3">
      <c r="A1178">
        <v>481</v>
      </c>
      <c r="B1178" t="s">
        <v>578</v>
      </c>
      <c r="C1178">
        <v>7</v>
      </c>
      <c r="D1178" t="s">
        <v>8</v>
      </c>
      <c r="E1178">
        <v>179</v>
      </c>
      <c r="F1178" t="s">
        <v>72</v>
      </c>
      <c r="G1178">
        <v>4.4800000000000004</v>
      </c>
    </row>
    <row r="1179" spans="1:7" outlineLevel="1" collapsed="1" x14ac:dyDescent="0.3">
      <c r="B1179" s="1" t="s">
        <v>1264</v>
      </c>
      <c r="D1179" t="str">
        <f>D1178</f>
        <v>Male</v>
      </c>
      <c r="G1179">
        <f>SUBTOTAL(9,G1178:G1178)</f>
        <v>4.4800000000000004</v>
      </c>
    </row>
    <row r="1180" spans="1:7" hidden="1" outlineLevel="2" x14ac:dyDescent="0.3">
      <c r="A1180">
        <v>312</v>
      </c>
      <c r="B1180" t="s">
        <v>430</v>
      </c>
      <c r="C1180">
        <v>20</v>
      </c>
      <c r="D1180" t="s">
        <v>8</v>
      </c>
      <c r="E1180">
        <v>147</v>
      </c>
      <c r="F1180" t="s">
        <v>410</v>
      </c>
      <c r="G1180">
        <v>4.93</v>
      </c>
    </row>
    <row r="1181" spans="1:7" hidden="1" outlineLevel="2" x14ac:dyDescent="0.3">
      <c r="A1181">
        <v>410</v>
      </c>
      <c r="B1181" t="s">
        <v>430</v>
      </c>
      <c r="C1181">
        <v>20</v>
      </c>
      <c r="D1181" t="s">
        <v>8</v>
      </c>
      <c r="E1181">
        <v>99</v>
      </c>
      <c r="F1181" t="s">
        <v>191</v>
      </c>
      <c r="G1181">
        <v>1.71</v>
      </c>
    </row>
    <row r="1182" spans="1:7" hidden="1" outlineLevel="2" x14ac:dyDescent="0.3">
      <c r="A1182">
        <v>661</v>
      </c>
      <c r="B1182" t="s">
        <v>430</v>
      </c>
      <c r="C1182">
        <v>20</v>
      </c>
      <c r="D1182" t="s">
        <v>8</v>
      </c>
      <c r="E1182">
        <v>60</v>
      </c>
      <c r="F1182" t="s">
        <v>110</v>
      </c>
      <c r="G1182">
        <v>3.54</v>
      </c>
    </row>
    <row r="1183" spans="1:7" outlineLevel="1" collapsed="1" x14ac:dyDescent="0.3">
      <c r="B1183" s="1" t="s">
        <v>1265</v>
      </c>
      <c r="D1183" t="str">
        <f>D1182</f>
        <v>Male</v>
      </c>
      <c r="G1183">
        <f>SUBTOTAL(9,G1180:G1182)</f>
        <v>10.18</v>
      </c>
    </row>
    <row r="1184" spans="1:7" hidden="1" outlineLevel="2" x14ac:dyDescent="0.3">
      <c r="A1184">
        <v>162</v>
      </c>
      <c r="B1184" t="s">
        <v>260</v>
      </c>
      <c r="C1184">
        <v>17</v>
      </c>
      <c r="D1184" t="s">
        <v>8</v>
      </c>
      <c r="E1184">
        <v>181</v>
      </c>
      <c r="F1184" t="s">
        <v>97</v>
      </c>
      <c r="G1184">
        <v>1.66</v>
      </c>
    </row>
    <row r="1185" spans="1:7" outlineLevel="1" collapsed="1" x14ac:dyDescent="0.3">
      <c r="B1185" s="1" t="s">
        <v>1266</v>
      </c>
      <c r="D1185" t="str">
        <f>D1184</f>
        <v>Male</v>
      </c>
      <c r="G1185">
        <f>SUBTOTAL(9,G1184:G1184)</f>
        <v>1.66</v>
      </c>
    </row>
    <row r="1186" spans="1:7" hidden="1" outlineLevel="2" x14ac:dyDescent="0.3">
      <c r="A1186">
        <v>158</v>
      </c>
      <c r="B1186" t="s">
        <v>255</v>
      </c>
      <c r="C1186">
        <v>31</v>
      </c>
      <c r="D1186" t="s">
        <v>8</v>
      </c>
      <c r="E1186">
        <v>111</v>
      </c>
      <c r="F1186" t="s">
        <v>256</v>
      </c>
      <c r="G1186">
        <v>4.8899999999999997</v>
      </c>
    </row>
    <row r="1187" spans="1:7" hidden="1" outlineLevel="2" x14ac:dyDescent="0.3">
      <c r="A1187">
        <v>232</v>
      </c>
      <c r="B1187" t="s">
        <v>255</v>
      </c>
      <c r="C1187">
        <v>31</v>
      </c>
      <c r="D1187" t="s">
        <v>8</v>
      </c>
      <c r="E1187">
        <v>114</v>
      </c>
      <c r="F1187" t="s">
        <v>315</v>
      </c>
      <c r="G1187">
        <v>3.82</v>
      </c>
    </row>
    <row r="1188" spans="1:7" outlineLevel="1" collapsed="1" x14ac:dyDescent="0.3">
      <c r="B1188" s="1" t="s">
        <v>1267</v>
      </c>
      <c r="D1188" t="str">
        <f>D1187</f>
        <v>Male</v>
      </c>
      <c r="G1188">
        <f>SUBTOTAL(9,G1186:G1187)</f>
        <v>8.7099999999999991</v>
      </c>
    </row>
    <row r="1189" spans="1:7" hidden="1" outlineLevel="2" x14ac:dyDescent="0.3">
      <c r="A1189">
        <v>471</v>
      </c>
      <c r="B1189" t="s">
        <v>571</v>
      </c>
      <c r="C1189">
        <v>23</v>
      </c>
      <c r="D1189" t="s">
        <v>8</v>
      </c>
      <c r="E1189">
        <v>122</v>
      </c>
      <c r="F1189" t="s">
        <v>552</v>
      </c>
      <c r="G1189">
        <v>2.85</v>
      </c>
    </row>
    <row r="1190" spans="1:7" outlineLevel="1" collapsed="1" x14ac:dyDescent="0.3">
      <c r="B1190" s="1" t="s">
        <v>1268</v>
      </c>
      <c r="D1190" t="str">
        <f>D1189</f>
        <v>Male</v>
      </c>
      <c r="G1190">
        <f>SUBTOTAL(9,G1189:G1189)</f>
        <v>2.85</v>
      </c>
    </row>
    <row r="1191" spans="1:7" hidden="1" outlineLevel="2" x14ac:dyDescent="0.3">
      <c r="A1191">
        <v>719</v>
      </c>
      <c r="B1191" t="s">
        <v>729</v>
      </c>
      <c r="C1191">
        <v>16</v>
      </c>
      <c r="D1191" t="s">
        <v>8</v>
      </c>
      <c r="E1191">
        <v>158</v>
      </c>
      <c r="F1191" t="s">
        <v>236</v>
      </c>
      <c r="G1191">
        <v>2.4500000000000002</v>
      </c>
    </row>
    <row r="1192" spans="1:7" outlineLevel="1" collapsed="1" x14ac:dyDescent="0.3">
      <c r="B1192" s="1" t="s">
        <v>1269</v>
      </c>
      <c r="D1192" t="str">
        <f>D1191</f>
        <v>Male</v>
      </c>
      <c r="G1192">
        <f>SUBTOTAL(9,G1191:G1191)</f>
        <v>2.4500000000000002</v>
      </c>
    </row>
    <row r="1193" spans="1:7" hidden="1" outlineLevel="2" x14ac:dyDescent="0.3">
      <c r="A1193">
        <v>249</v>
      </c>
      <c r="B1193" t="s">
        <v>367</v>
      </c>
      <c r="C1193">
        <v>20</v>
      </c>
      <c r="D1193" t="s">
        <v>8</v>
      </c>
      <c r="E1193">
        <v>16</v>
      </c>
      <c r="F1193" t="s">
        <v>354</v>
      </c>
      <c r="G1193">
        <v>3.55</v>
      </c>
    </row>
    <row r="1194" spans="1:7" hidden="1" outlineLevel="2" x14ac:dyDescent="0.3">
      <c r="A1194">
        <v>349</v>
      </c>
      <c r="B1194" t="s">
        <v>367</v>
      </c>
      <c r="C1194">
        <v>20</v>
      </c>
      <c r="D1194" t="s">
        <v>8</v>
      </c>
      <c r="E1194">
        <v>59</v>
      </c>
      <c r="F1194" t="s">
        <v>169</v>
      </c>
      <c r="G1194">
        <v>4.2300000000000004</v>
      </c>
    </row>
    <row r="1195" spans="1:7" outlineLevel="1" collapsed="1" x14ac:dyDescent="0.3">
      <c r="B1195" s="1" t="s">
        <v>1270</v>
      </c>
      <c r="D1195" t="str">
        <f>D1194</f>
        <v>Male</v>
      </c>
      <c r="G1195">
        <f>SUBTOTAL(9,G1193:G1194)</f>
        <v>7.78</v>
      </c>
    </row>
    <row r="1196" spans="1:7" hidden="1" outlineLevel="2" x14ac:dyDescent="0.3">
      <c r="A1196">
        <v>573</v>
      </c>
      <c r="B1196" t="s">
        <v>641</v>
      </c>
      <c r="C1196">
        <v>26</v>
      </c>
      <c r="D1196" t="s">
        <v>8</v>
      </c>
      <c r="E1196">
        <v>156</v>
      </c>
      <c r="F1196" t="s">
        <v>407</v>
      </c>
      <c r="G1196">
        <v>1.77</v>
      </c>
    </row>
    <row r="1197" spans="1:7" outlineLevel="1" collapsed="1" x14ac:dyDescent="0.3">
      <c r="B1197" s="1" t="s">
        <v>1271</v>
      </c>
      <c r="D1197" t="str">
        <f>D1196</f>
        <v>Male</v>
      </c>
      <c r="G1197">
        <f>SUBTOTAL(9,G1196:G1196)</f>
        <v>1.77</v>
      </c>
    </row>
    <row r="1198" spans="1:7" hidden="1" outlineLevel="2" x14ac:dyDescent="0.3">
      <c r="A1198">
        <v>542</v>
      </c>
      <c r="B1198" t="s">
        <v>622</v>
      </c>
      <c r="C1198">
        <v>17</v>
      </c>
      <c r="D1198" t="s">
        <v>8</v>
      </c>
      <c r="E1198">
        <v>22</v>
      </c>
      <c r="F1198" t="s">
        <v>106</v>
      </c>
      <c r="G1198">
        <v>2.1800000000000002</v>
      </c>
    </row>
    <row r="1199" spans="1:7" hidden="1" outlineLevel="2" x14ac:dyDescent="0.3">
      <c r="A1199">
        <v>568</v>
      </c>
      <c r="B1199" t="s">
        <v>622</v>
      </c>
      <c r="C1199">
        <v>17</v>
      </c>
      <c r="D1199" t="s">
        <v>8</v>
      </c>
      <c r="E1199">
        <v>123</v>
      </c>
      <c r="F1199" t="s">
        <v>271</v>
      </c>
      <c r="G1199">
        <v>2.2799999999999998</v>
      </c>
    </row>
    <row r="1200" spans="1:7" outlineLevel="1" collapsed="1" x14ac:dyDescent="0.3">
      <c r="B1200" s="1" t="s">
        <v>1272</v>
      </c>
      <c r="D1200" t="str">
        <f>D1199</f>
        <v>Male</v>
      </c>
      <c r="G1200">
        <f>SUBTOTAL(9,G1198:G1199)</f>
        <v>4.46</v>
      </c>
    </row>
    <row r="1201" spans="1:7" hidden="1" outlineLevel="2" x14ac:dyDescent="0.3">
      <c r="A1201">
        <v>626</v>
      </c>
      <c r="B1201" t="s">
        <v>670</v>
      </c>
      <c r="C1201">
        <v>16</v>
      </c>
      <c r="D1201" t="s">
        <v>8</v>
      </c>
      <c r="E1201">
        <v>75</v>
      </c>
      <c r="F1201" t="s">
        <v>218</v>
      </c>
      <c r="G1201">
        <v>2.42</v>
      </c>
    </row>
    <row r="1202" spans="1:7" outlineLevel="1" collapsed="1" x14ac:dyDescent="0.3">
      <c r="B1202" s="1" t="s">
        <v>1273</v>
      </c>
      <c r="D1202" t="str">
        <f>D1201</f>
        <v>Male</v>
      </c>
      <c r="G1202">
        <f>SUBTOTAL(9,G1201:G1201)</f>
        <v>2.42</v>
      </c>
    </row>
    <row r="1203" spans="1:7" hidden="1" outlineLevel="2" x14ac:dyDescent="0.3">
      <c r="A1203">
        <v>505</v>
      </c>
      <c r="B1203" t="s">
        <v>596</v>
      </c>
      <c r="C1203">
        <v>19</v>
      </c>
      <c r="D1203" t="s">
        <v>8</v>
      </c>
      <c r="E1203">
        <v>110</v>
      </c>
      <c r="F1203" t="s">
        <v>105</v>
      </c>
      <c r="G1203">
        <v>1.44</v>
      </c>
    </row>
    <row r="1204" spans="1:7" outlineLevel="1" collapsed="1" x14ac:dyDescent="0.3">
      <c r="B1204" s="1" t="s">
        <v>1274</v>
      </c>
      <c r="D1204" t="str">
        <f>D1203</f>
        <v>Male</v>
      </c>
      <c r="G1204">
        <f>SUBTOTAL(9,G1203:G1203)</f>
        <v>1.44</v>
      </c>
    </row>
    <row r="1205" spans="1:7" hidden="1" outlineLevel="2" x14ac:dyDescent="0.3">
      <c r="A1205">
        <v>185</v>
      </c>
      <c r="B1205" t="s">
        <v>294</v>
      </c>
      <c r="C1205">
        <v>20</v>
      </c>
      <c r="D1205" t="s">
        <v>8</v>
      </c>
      <c r="E1205">
        <v>150</v>
      </c>
      <c r="F1205" t="s">
        <v>202</v>
      </c>
      <c r="G1205">
        <v>2.85</v>
      </c>
    </row>
    <row r="1206" spans="1:7" outlineLevel="1" collapsed="1" x14ac:dyDescent="0.3">
      <c r="B1206" s="1" t="s">
        <v>1275</v>
      </c>
      <c r="D1206" t="str">
        <f>D1205</f>
        <v>Male</v>
      </c>
      <c r="G1206">
        <f>SUBTOTAL(9,G1205:G1205)</f>
        <v>2.85</v>
      </c>
    </row>
    <row r="1207" spans="1:7" hidden="1" outlineLevel="2" x14ac:dyDescent="0.3">
      <c r="A1207">
        <v>104</v>
      </c>
      <c r="B1207" t="s">
        <v>185</v>
      </c>
      <c r="C1207">
        <v>24</v>
      </c>
      <c r="D1207" t="s">
        <v>8</v>
      </c>
      <c r="E1207">
        <v>53</v>
      </c>
      <c r="F1207" t="s">
        <v>80</v>
      </c>
      <c r="G1207">
        <v>2.0499999999999998</v>
      </c>
    </row>
    <row r="1208" spans="1:7" outlineLevel="1" collapsed="1" x14ac:dyDescent="0.3">
      <c r="B1208" s="1" t="s">
        <v>1276</v>
      </c>
      <c r="D1208" t="str">
        <f>D1207</f>
        <v>Male</v>
      </c>
      <c r="G1208">
        <f>SUBTOTAL(9,G1207:G1207)</f>
        <v>2.0499999999999998</v>
      </c>
    </row>
    <row r="1209" spans="1:7" hidden="1" outlineLevel="2" x14ac:dyDescent="0.3">
      <c r="A1209">
        <v>365</v>
      </c>
      <c r="B1209" t="s">
        <v>480</v>
      </c>
      <c r="C1209">
        <v>25</v>
      </c>
      <c r="D1209" t="s">
        <v>8</v>
      </c>
      <c r="E1209">
        <v>43</v>
      </c>
      <c r="F1209" t="s">
        <v>481</v>
      </c>
      <c r="G1209">
        <v>3.54</v>
      </c>
    </row>
    <row r="1210" spans="1:7" outlineLevel="1" collapsed="1" x14ac:dyDescent="0.3">
      <c r="B1210" s="1" t="s">
        <v>1277</v>
      </c>
      <c r="D1210" t="str">
        <f>D1209</f>
        <v>Male</v>
      </c>
      <c r="G1210">
        <f>SUBTOTAL(9,G1209:G1209)</f>
        <v>3.54</v>
      </c>
    </row>
    <row r="1211" spans="1:7" hidden="1" outlineLevel="2" x14ac:dyDescent="0.3">
      <c r="A1211">
        <v>616</v>
      </c>
      <c r="B1211" t="s">
        <v>666</v>
      </c>
      <c r="C1211">
        <v>20</v>
      </c>
      <c r="D1211" t="s">
        <v>8</v>
      </c>
      <c r="E1211">
        <v>78</v>
      </c>
      <c r="F1211" t="s">
        <v>208</v>
      </c>
      <c r="G1211">
        <v>4.4000000000000004</v>
      </c>
    </row>
    <row r="1212" spans="1:7" outlineLevel="1" collapsed="1" x14ac:dyDescent="0.3">
      <c r="B1212" s="1" t="s">
        <v>1278</v>
      </c>
      <c r="D1212" t="str">
        <f>D1211</f>
        <v>Male</v>
      </c>
      <c r="G1212">
        <f>SUBTOTAL(9,G1211:G1211)</f>
        <v>4.4000000000000004</v>
      </c>
    </row>
    <row r="1213" spans="1:7" hidden="1" outlineLevel="2" x14ac:dyDescent="0.3">
      <c r="A1213">
        <v>252</v>
      </c>
      <c r="B1213" t="s">
        <v>370</v>
      </c>
      <c r="C1213">
        <v>39</v>
      </c>
      <c r="D1213" t="s">
        <v>8</v>
      </c>
      <c r="E1213">
        <v>92</v>
      </c>
      <c r="F1213" t="s">
        <v>13</v>
      </c>
      <c r="G1213">
        <v>4.88</v>
      </c>
    </row>
    <row r="1214" spans="1:7" outlineLevel="1" collapsed="1" x14ac:dyDescent="0.3">
      <c r="B1214" s="1" t="s">
        <v>1279</v>
      </c>
      <c r="D1214" t="str">
        <f>D1213</f>
        <v>Male</v>
      </c>
      <c r="G1214">
        <f>SUBTOTAL(9,G1213:G1213)</f>
        <v>4.88</v>
      </c>
    </row>
    <row r="1215" spans="1:7" hidden="1" outlineLevel="2" x14ac:dyDescent="0.3">
      <c r="A1215">
        <v>159</v>
      </c>
      <c r="B1215" t="s">
        <v>257</v>
      </c>
      <c r="C1215">
        <v>25</v>
      </c>
      <c r="D1215" t="s">
        <v>8</v>
      </c>
      <c r="E1215">
        <v>39</v>
      </c>
      <c r="F1215" t="s">
        <v>171</v>
      </c>
      <c r="G1215">
        <v>3.94</v>
      </c>
    </row>
    <row r="1216" spans="1:7" hidden="1" outlineLevel="2" x14ac:dyDescent="0.3">
      <c r="A1216">
        <v>759</v>
      </c>
      <c r="B1216" t="s">
        <v>257</v>
      </c>
      <c r="C1216">
        <v>25</v>
      </c>
      <c r="D1216" t="s">
        <v>8</v>
      </c>
      <c r="E1216">
        <v>72</v>
      </c>
      <c r="F1216" t="s">
        <v>92</v>
      </c>
      <c r="G1216">
        <v>3.77</v>
      </c>
    </row>
    <row r="1217" spans="1:7" outlineLevel="1" collapsed="1" x14ac:dyDescent="0.3">
      <c r="B1217" s="1" t="s">
        <v>1280</v>
      </c>
      <c r="D1217" t="str">
        <f>D1216</f>
        <v>Male</v>
      </c>
      <c r="G1217">
        <f>SUBTOTAL(9,G1215:G1216)</f>
        <v>7.71</v>
      </c>
    </row>
    <row r="1218" spans="1:7" hidden="1" outlineLevel="2" x14ac:dyDescent="0.3">
      <c r="A1218">
        <v>107</v>
      </c>
      <c r="B1218" t="s">
        <v>190</v>
      </c>
      <c r="C1218">
        <v>36</v>
      </c>
      <c r="D1218" t="s">
        <v>8</v>
      </c>
      <c r="E1218">
        <v>99</v>
      </c>
      <c r="F1218" t="s">
        <v>191</v>
      </c>
      <c r="G1218">
        <v>1.71</v>
      </c>
    </row>
    <row r="1219" spans="1:7" outlineLevel="1" collapsed="1" x14ac:dyDescent="0.3">
      <c r="B1219" s="1" t="s">
        <v>1281</v>
      </c>
      <c r="D1219" t="str">
        <f>D1218</f>
        <v>Male</v>
      </c>
      <c r="G1219">
        <f>SUBTOTAL(9,G1218:G1218)</f>
        <v>1.71</v>
      </c>
    </row>
    <row r="1220" spans="1:7" hidden="1" outlineLevel="2" x14ac:dyDescent="0.3">
      <c r="A1220">
        <v>316</v>
      </c>
      <c r="B1220" t="s">
        <v>433</v>
      </c>
      <c r="C1220">
        <v>25</v>
      </c>
      <c r="D1220" t="s">
        <v>8</v>
      </c>
      <c r="E1220">
        <v>15</v>
      </c>
      <c r="F1220" t="s">
        <v>108</v>
      </c>
      <c r="G1220">
        <v>2.96</v>
      </c>
    </row>
    <row r="1221" spans="1:7" outlineLevel="1" collapsed="1" x14ac:dyDescent="0.3">
      <c r="B1221" s="1" t="s">
        <v>1282</v>
      </c>
      <c r="D1221" t="str">
        <f>D1220</f>
        <v>Male</v>
      </c>
      <c r="G1221">
        <f>SUBTOTAL(9,G1220:G1220)</f>
        <v>2.96</v>
      </c>
    </row>
    <row r="1222" spans="1:7" hidden="1" outlineLevel="2" x14ac:dyDescent="0.3">
      <c r="A1222">
        <v>379</v>
      </c>
      <c r="B1222" t="s">
        <v>492</v>
      </c>
      <c r="C1222">
        <v>18</v>
      </c>
      <c r="D1222" t="s">
        <v>8</v>
      </c>
      <c r="E1222">
        <v>100</v>
      </c>
      <c r="F1222" t="s">
        <v>15</v>
      </c>
      <c r="G1222">
        <v>3.27</v>
      </c>
    </row>
    <row r="1223" spans="1:7" outlineLevel="1" collapsed="1" x14ac:dyDescent="0.3">
      <c r="B1223" s="1" t="s">
        <v>1283</v>
      </c>
      <c r="D1223" t="str">
        <f>D1222</f>
        <v>Male</v>
      </c>
      <c r="G1223">
        <f>SUBTOTAL(9,G1222:G1222)</f>
        <v>3.27</v>
      </c>
    </row>
    <row r="1224" spans="1:7" hidden="1" outlineLevel="2" x14ac:dyDescent="0.3">
      <c r="A1224">
        <v>677</v>
      </c>
      <c r="B1224" t="s">
        <v>706</v>
      </c>
      <c r="C1224">
        <v>27</v>
      </c>
      <c r="D1224" t="s">
        <v>8</v>
      </c>
      <c r="E1224">
        <v>32</v>
      </c>
      <c r="F1224" t="s">
        <v>293</v>
      </c>
      <c r="G1224">
        <v>1.1399999999999999</v>
      </c>
    </row>
    <row r="1225" spans="1:7" outlineLevel="1" collapsed="1" x14ac:dyDescent="0.3">
      <c r="B1225" s="1" t="s">
        <v>1284</v>
      </c>
      <c r="D1225" t="str">
        <f>D1224</f>
        <v>Male</v>
      </c>
      <c r="G1225">
        <f>SUBTOTAL(9,G1224:G1224)</f>
        <v>1.1399999999999999</v>
      </c>
    </row>
    <row r="1226" spans="1:7" hidden="1" outlineLevel="2" x14ac:dyDescent="0.3">
      <c r="A1226">
        <v>355</v>
      </c>
      <c r="B1226" t="s">
        <v>470</v>
      </c>
      <c r="C1226">
        <v>15</v>
      </c>
      <c r="D1226" t="s">
        <v>8</v>
      </c>
      <c r="E1226">
        <v>140</v>
      </c>
      <c r="F1226" t="s">
        <v>70</v>
      </c>
      <c r="G1226">
        <v>2.94</v>
      </c>
    </row>
    <row r="1227" spans="1:7" outlineLevel="1" collapsed="1" x14ac:dyDescent="0.3">
      <c r="B1227" s="1" t="s">
        <v>1285</v>
      </c>
      <c r="D1227" t="str">
        <f>D1226</f>
        <v>Male</v>
      </c>
      <c r="G1227">
        <f>SUBTOTAL(9,G1226:G1226)</f>
        <v>2.94</v>
      </c>
    </row>
    <row r="1228" spans="1:7" hidden="1" outlineLevel="2" x14ac:dyDescent="0.3">
      <c r="A1228">
        <v>44</v>
      </c>
      <c r="B1228" t="s">
        <v>94</v>
      </c>
      <c r="C1228">
        <v>24</v>
      </c>
      <c r="D1228" t="s">
        <v>8</v>
      </c>
      <c r="E1228">
        <v>9</v>
      </c>
      <c r="F1228" t="s">
        <v>95</v>
      </c>
      <c r="G1228">
        <v>2.73</v>
      </c>
    </row>
    <row r="1229" spans="1:7" hidden="1" outlineLevel="2" x14ac:dyDescent="0.3">
      <c r="A1229">
        <v>261</v>
      </c>
      <c r="B1229" t="s">
        <v>94</v>
      </c>
      <c r="C1229">
        <v>24</v>
      </c>
      <c r="D1229" t="s">
        <v>8</v>
      </c>
      <c r="E1229">
        <v>141</v>
      </c>
      <c r="F1229" t="s">
        <v>58</v>
      </c>
      <c r="G1229">
        <v>3.19</v>
      </c>
    </row>
    <row r="1230" spans="1:7" outlineLevel="1" collapsed="1" x14ac:dyDescent="0.3">
      <c r="B1230" s="1" t="s">
        <v>1286</v>
      </c>
      <c r="D1230" t="str">
        <f>D1229</f>
        <v>Male</v>
      </c>
      <c r="G1230">
        <f>SUBTOTAL(9,G1228:G1229)</f>
        <v>5.92</v>
      </c>
    </row>
    <row r="1231" spans="1:7" hidden="1" outlineLevel="2" x14ac:dyDescent="0.3">
      <c r="A1231">
        <v>216</v>
      </c>
      <c r="B1231" t="s">
        <v>331</v>
      </c>
      <c r="C1231">
        <v>21</v>
      </c>
      <c r="D1231" t="s">
        <v>8</v>
      </c>
      <c r="E1231">
        <v>136</v>
      </c>
      <c r="F1231" t="s">
        <v>28</v>
      </c>
      <c r="G1231">
        <v>3.58</v>
      </c>
    </row>
    <row r="1232" spans="1:7" outlineLevel="1" collapsed="1" x14ac:dyDescent="0.3">
      <c r="B1232" s="1" t="s">
        <v>1287</v>
      </c>
      <c r="D1232" t="str">
        <f>D1231</f>
        <v>Male</v>
      </c>
      <c r="G1232">
        <f>SUBTOTAL(9,G1231:G1231)</f>
        <v>3.58</v>
      </c>
    </row>
    <row r="1233" spans="1:7" hidden="1" outlineLevel="2" x14ac:dyDescent="0.3">
      <c r="A1233">
        <v>496</v>
      </c>
      <c r="B1233" t="s">
        <v>590</v>
      </c>
      <c r="C1233">
        <v>23</v>
      </c>
      <c r="D1233" t="s">
        <v>8</v>
      </c>
      <c r="E1233">
        <v>79</v>
      </c>
      <c r="F1233" t="s">
        <v>467</v>
      </c>
      <c r="G1233">
        <v>4.05</v>
      </c>
    </row>
    <row r="1234" spans="1:7" outlineLevel="1" collapsed="1" x14ac:dyDescent="0.3">
      <c r="B1234" s="1" t="s">
        <v>1288</v>
      </c>
      <c r="D1234" t="str">
        <f>D1233</f>
        <v>Male</v>
      </c>
      <c r="G1234">
        <f>SUBTOTAL(9,G1233:G1233)</f>
        <v>4.05</v>
      </c>
    </row>
    <row r="1235" spans="1:7" hidden="1" outlineLevel="2" x14ac:dyDescent="0.3">
      <c r="A1235">
        <v>187</v>
      </c>
      <c r="B1235" t="s">
        <v>297</v>
      </c>
      <c r="C1235">
        <v>8</v>
      </c>
      <c r="D1235" t="s">
        <v>8</v>
      </c>
      <c r="E1235">
        <v>11</v>
      </c>
      <c r="F1235" t="s">
        <v>298</v>
      </c>
      <c r="G1235">
        <v>3.65</v>
      </c>
    </row>
    <row r="1236" spans="1:7" outlineLevel="1" collapsed="1" x14ac:dyDescent="0.3">
      <c r="B1236" s="1" t="s">
        <v>1289</v>
      </c>
      <c r="D1236" t="str">
        <f>D1235</f>
        <v>Male</v>
      </c>
      <c r="G1236">
        <f>SUBTOTAL(9,G1235:G1235)</f>
        <v>3.65</v>
      </c>
    </row>
    <row r="1237" spans="1:7" hidden="1" outlineLevel="2" x14ac:dyDescent="0.3">
      <c r="A1237">
        <v>736</v>
      </c>
      <c r="B1237" t="s">
        <v>740</v>
      </c>
      <c r="C1237">
        <v>23</v>
      </c>
      <c r="D1237" t="s">
        <v>8</v>
      </c>
      <c r="E1237">
        <v>58</v>
      </c>
      <c r="F1237" t="s">
        <v>221</v>
      </c>
      <c r="G1237">
        <v>4.1399999999999997</v>
      </c>
    </row>
    <row r="1238" spans="1:7" outlineLevel="1" collapsed="1" x14ac:dyDescent="0.3">
      <c r="B1238" s="1" t="s">
        <v>1290</v>
      </c>
      <c r="D1238" t="str">
        <f>D1237</f>
        <v>Male</v>
      </c>
      <c r="G1238">
        <f>SUBTOTAL(9,G1237:G1237)</f>
        <v>4.1399999999999997</v>
      </c>
    </row>
    <row r="1239" spans="1:7" hidden="1" outlineLevel="2" x14ac:dyDescent="0.3">
      <c r="A1239">
        <v>469</v>
      </c>
      <c r="B1239" t="s">
        <v>569</v>
      </c>
      <c r="C1239">
        <v>24</v>
      </c>
      <c r="D1239" t="s">
        <v>8</v>
      </c>
      <c r="E1239">
        <v>148</v>
      </c>
      <c r="F1239" t="s">
        <v>246</v>
      </c>
      <c r="G1239">
        <v>4.03</v>
      </c>
    </row>
    <row r="1240" spans="1:7" hidden="1" outlineLevel="2" x14ac:dyDescent="0.3">
      <c r="A1240">
        <v>654</v>
      </c>
      <c r="B1240" t="s">
        <v>569</v>
      </c>
      <c r="C1240">
        <v>24</v>
      </c>
      <c r="D1240" t="s">
        <v>8</v>
      </c>
      <c r="E1240">
        <v>19</v>
      </c>
      <c r="F1240" t="s">
        <v>358</v>
      </c>
      <c r="G1240">
        <v>1.02</v>
      </c>
    </row>
    <row r="1241" spans="1:7" outlineLevel="1" collapsed="1" x14ac:dyDescent="0.3">
      <c r="B1241" s="1" t="s">
        <v>1291</v>
      </c>
      <c r="D1241" t="str">
        <f>D1240</f>
        <v>Male</v>
      </c>
      <c r="G1241">
        <f>SUBTOTAL(9,G1239:G1240)</f>
        <v>5.0500000000000007</v>
      </c>
    </row>
    <row r="1242" spans="1:7" hidden="1" outlineLevel="2" x14ac:dyDescent="0.3">
      <c r="A1242">
        <v>29</v>
      </c>
      <c r="B1242" t="s">
        <v>67</v>
      </c>
      <c r="C1242">
        <v>24</v>
      </c>
      <c r="D1242" t="s">
        <v>8</v>
      </c>
      <c r="E1242">
        <v>37</v>
      </c>
      <c r="F1242" t="s">
        <v>68</v>
      </c>
      <c r="G1242">
        <v>3.16</v>
      </c>
    </row>
    <row r="1243" spans="1:7" hidden="1" outlineLevel="2" x14ac:dyDescent="0.3">
      <c r="A1243">
        <v>580</v>
      </c>
      <c r="B1243" t="s">
        <v>67</v>
      </c>
      <c r="C1243">
        <v>24</v>
      </c>
      <c r="D1243" t="s">
        <v>8</v>
      </c>
      <c r="E1243">
        <v>178</v>
      </c>
      <c r="F1243" t="s">
        <v>60</v>
      </c>
      <c r="G1243">
        <v>4.2300000000000004</v>
      </c>
    </row>
    <row r="1244" spans="1:7" outlineLevel="1" collapsed="1" x14ac:dyDescent="0.3">
      <c r="B1244" s="1" t="s">
        <v>1292</v>
      </c>
      <c r="D1244" t="str">
        <f>D1243</f>
        <v>Male</v>
      </c>
      <c r="G1244">
        <f>SUBTOTAL(9,G1242:G1243)</f>
        <v>7.3900000000000006</v>
      </c>
    </row>
    <row r="1245" spans="1:7" hidden="1" outlineLevel="2" x14ac:dyDescent="0.3">
      <c r="A1245">
        <v>172</v>
      </c>
      <c r="B1245" t="s">
        <v>274</v>
      </c>
      <c r="C1245">
        <v>21</v>
      </c>
      <c r="D1245" t="s">
        <v>8</v>
      </c>
      <c r="E1245">
        <v>65</v>
      </c>
      <c r="F1245" t="s">
        <v>262</v>
      </c>
      <c r="G1245">
        <v>4.24</v>
      </c>
    </row>
    <row r="1246" spans="1:7" outlineLevel="1" collapsed="1" x14ac:dyDescent="0.3">
      <c r="B1246" s="1" t="s">
        <v>1293</v>
      </c>
      <c r="D1246" t="str">
        <f>D1245</f>
        <v>Male</v>
      </c>
      <c r="G1246">
        <f>SUBTOTAL(9,G1245:G1245)</f>
        <v>4.24</v>
      </c>
    </row>
    <row r="1247" spans="1:7" hidden="1" outlineLevel="2" x14ac:dyDescent="0.3">
      <c r="A1247">
        <v>58</v>
      </c>
      <c r="B1247" t="s">
        <v>120</v>
      </c>
      <c r="C1247">
        <v>23</v>
      </c>
      <c r="D1247" t="s">
        <v>8</v>
      </c>
      <c r="E1247">
        <v>152</v>
      </c>
      <c r="F1247" t="s">
        <v>121</v>
      </c>
      <c r="G1247">
        <v>1.74</v>
      </c>
    </row>
    <row r="1248" spans="1:7" hidden="1" outlineLevel="2" x14ac:dyDescent="0.3">
      <c r="A1248">
        <v>315</v>
      </c>
      <c r="B1248" t="s">
        <v>120</v>
      </c>
      <c r="C1248">
        <v>23</v>
      </c>
      <c r="D1248" t="s">
        <v>8</v>
      </c>
      <c r="E1248">
        <v>107</v>
      </c>
      <c r="F1248" t="s">
        <v>352</v>
      </c>
      <c r="G1248">
        <v>2.1800000000000002</v>
      </c>
    </row>
    <row r="1249" spans="1:7" hidden="1" outlineLevel="2" x14ac:dyDescent="0.3">
      <c r="A1249">
        <v>323</v>
      </c>
      <c r="B1249" t="s">
        <v>120</v>
      </c>
      <c r="C1249">
        <v>23</v>
      </c>
      <c r="D1249" t="s">
        <v>8</v>
      </c>
      <c r="E1249">
        <v>131</v>
      </c>
      <c r="F1249" t="s">
        <v>17</v>
      </c>
      <c r="G1249">
        <v>1.44</v>
      </c>
    </row>
    <row r="1250" spans="1:7" outlineLevel="1" collapsed="1" x14ac:dyDescent="0.3">
      <c r="B1250" s="1" t="s">
        <v>1294</v>
      </c>
      <c r="D1250" t="str">
        <f>D1249</f>
        <v>Male</v>
      </c>
      <c r="G1250">
        <f>SUBTOTAL(9,G1247:G1249)</f>
        <v>5.3599999999999994</v>
      </c>
    </row>
    <row r="1251" spans="1:7" hidden="1" outlineLevel="2" x14ac:dyDescent="0.3">
      <c r="A1251">
        <v>466</v>
      </c>
      <c r="B1251" t="s">
        <v>565</v>
      </c>
      <c r="C1251">
        <v>23</v>
      </c>
      <c r="D1251" t="s">
        <v>8</v>
      </c>
      <c r="E1251">
        <v>112</v>
      </c>
      <c r="F1251" t="s">
        <v>566</v>
      </c>
      <c r="G1251">
        <v>2.6</v>
      </c>
    </row>
    <row r="1252" spans="1:7" hidden="1" outlineLevel="2" x14ac:dyDescent="0.3">
      <c r="A1252">
        <v>574</v>
      </c>
      <c r="B1252" t="s">
        <v>565</v>
      </c>
      <c r="C1252">
        <v>23</v>
      </c>
      <c r="D1252" t="s">
        <v>8</v>
      </c>
      <c r="E1252">
        <v>131</v>
      </c>
      <c r="F1252" t="s">
        <v>17</v>
      </c>
      <c r="G1252">
        <v>1.44</v>
      </c>
    </row>
    <row r="1253" spans="1:7" outlineLevel="1" collapsed="1" x14ac:dyDescent="0.3">
      <c r="B1253" s="1" t="s">
        <v>1295</v>
      </c>
      <c r="D1253" t="str">
        <f>D1252</f>
        <v>Male</v>
      </c>
      <c r="G1253">
        <f>SUBTOTAL(9,G1251:G1252)</f>
        <v>4.04</v>
      </c>
    </row>
    <row r="1254" spans="1:7" hidden="1" outlineLevel="2" x14ac:dyDescent="0.3">
      <c r="A1254">
        <v>332</v>
      </c>
      <c r="B1254" t="s">
        <v>447</v>
      </c>
      <c r="C1254">
        <v>25</v>
      </c>
      <c r="D1254" t="s">
        <v>8</v>
      </c>
      <c r="E1254">
        <v>161</v>
      </c>
      <c r="F1254" t="s">
        <v>44</v>
      </c>
      <c r="G1254">
        <v>1.76</v>
      </c>
    </row>
    <row r="1255" spans="1:7" outlineLevel="1" collapsed="1" x14ac:dyDescent="0.3">
      <c r="B1255" s="1" t="s">
        <v>1296</v>
      </c>
      <c r="D1255" t="str">
        <f>D1254</f>
        <v>Male</v>
      </c>
      <c r="G1255">
        <f>SUBTOTAL(9,G1254:G1254)</f>
        <v>1.76</v>
      </c>
    </row>
    <row r="1256" spans="1:7" hidden="1" outlineLevel="2" x14ac:dyDescent="0.3">
      <c r="A1256">
        <v>241</v>
      </c>
      <c r="B1256" t="s">
        <v>360</v>
      </c>
      <c r="C1256">
        <v>22</v>
      </c>
      <c r="D1256" t="s">
        <v>8</v>
      </c>
      <c r="E1256">
        <v>10</v>
      </c>
      <c r="F1256" t="s">
        <v>187</v>
      </c>
      <c r="G1256">
        <v>1.79</v>
      </c>
    </row>
    <row r="1257" spans="1:7" outlineLevel="1" collapsed="1" x14ac:dyDescent="0.3">
      <c r="B1257" s="1" t="s">
        <v>1297</v>
      </c>
      <c r="D1257" t="str">
        <f>D1256</f>
        <v>Male</v>
      </c>
      <c r="G1257">
        <f>SUBTOTAL(9,G1256:G1256)</f>
        <v>1.79</v>
      </c>
    </row>
    <row r="1258" spans="1:7" hidden="1" outlineLevel="2" x14ac:dyDescent="0.3">
      <c r="A1258">
        <v>335</v>
      </c>
      <c r="B1258" t="s">
        <v>450</v>
      </c>
      <c r="C1258">
        <v>33</v>
      </c>
      <c r="D1258" t="s">
        <v>8</v>
      </c>
      <c r="E1258">
        <v>67</v>
      </c>
      <c r="F1258" t="s">
        <v>451</v>
      </c>
      <c r="G1258">
        <v>3.46</v>
      </c>
    </row>
    <row r="1259" spans="1:7" outlineLevel="1" collapsed="1" x14ac:dyDescent="0.3">
      <c r="B1259" s="1" t="s">
        <v>1298</v>
      </c>
      <c r="D1259" t="str">
        <f>D1258</f>
        <v>Male</v>
      </c>
      <c r="G1259">
        <f>SUBTOTAL(9,G1258:G1258)</f>
        <v>3.46</v>
      </c>
    </row>
    <row r="1260" spans="1:7" hidden="1" outlineLevel="2" x14ac:dyDescent="0.3">
      <c r="A1260">
        <v>308</v>
      </c>
      <c r="B1260" t="s">
        <v>427</v>
      </c>
      <c r="C1260">
        <v>34</v>
      </c>
      <c r="D1260" t="s">
        <v>8</v>
      </c>
      <c r="E1260">
        <v>98</v>
      </c>
      <c r="F1260" t="s">
        <v>40</v>
      </c>
      <c r="G1260">
        <v>2.89</v>
      </c>
    </row>
    <row r="1261" spans="1:7" outlineLevel="1" collapsed="1" x14ac:dyDescent="0.3">
      <c r="B1261" s="1" t="s">
        <v>1299</v>
      </c>
      <c r="D1261" t="str">
        <f>D1260</f>
        <v>Male</v>
      </c>
      <c r="G1261">
        <f>SUBTOTAL(9,G1260:G1260)</f>
        <v>2.89</v>
      </c>
    </row>
    <row r="1262" spans="1:7" hidden="1" outlineLevel="2" x14ac:dyDescent="0.3">
      <c r="A1262">
        <v>114</v>
      </c>
      <c r="B1262" t="s">
        <v>201</v>
      </c>
      <c r="C1262">
        <v>22</v>
      </c>
      <c r="D1262" t="s">
        <v>8</v>
      </c>
      <c r="E1262">
        <v>150</v>
      </c>
      <c r="F1262" t="s">
        <v>202</v>
      </c>
      <c r="G1262">
        <v>2.85</v>
      </c>
    </row>
    <row r="1263" spans="1:7" hidden="1" outlineLevel="2" x14ac:dyDescent="0.3">
      <c r="A1263">
        <v>223</v>
      </c>
      <c r="B1263" t="s">
        <v>201</v>
      </c>
      <c r="C1263">
        <v>22</v>
      </c>
      <c r="D1263" t="s">
        <v>8</v>
      </c>
      <c r="E1263">
        <v>142</v>
      </c>
      <c r="F1263" t="s">
        <v>338</v>
      </c>
      <c r="G1263">
        <v>2.62</v>
      </c>
    </row>
    <row r="1264" spans="1:7" outlineLevel="1" collapsed="1" x14ac:dyDescent="0.3">
      <c r="B1264" s="1" t="s">
        <v>1300</v>
      </c>
      <c r="D1264" t="str">
        <f>D1263</f>
        <v>Male</v>
      </c>
      <c r="G1264">
        <f>SUBTOTAL(9,G1262:G1263)</f>
        <v>5.4700000000000006</v>
      </c>
    </row>
    <row r="1265" spans="1:7" hidden="1" outlineLevel="2" x14ac:dyDescent="0.3">
      <c r="A1265">
        <v>462</v>
      </c>
      <c r="B1265" t="s">
        <v>562</v>
      </c>
      <c r="C1265">
        <v>20</v>
      </c>
      <c r="D1265" t="s">
        <v>8</v>
      </c>
      <c r="E1265">
        <v>144</v>
      </c>
      <c r="F1265" t="s">
        <v>278</v>
      </c>
      <c r="G1265">
        <v>1.94</v>
      </c>
    </row>
    <row r="1266" spans="1:7" outlineLevel="1" collapsed="1" x14ac:dyDescent="0.3">
      <c r="B1266" s="1" t="s">
        <v>1301</v>
      </c>
      <c r="D1266" t="str">
        <f>D1265</f>
        <v>Male</v>
      </c>
      <c r="G1266">
        <f>SUBTOTAL(9,G1265:G1265)</f>
        <v>1.94</v>
      </c>
    </row>
    <row r="1267" spans="1:7" hidden="1" outlineLevel="2" x14ac:dyDescent="0.3">
      <c r="A1267">
        <v>354</v>
      </c>
      <c r="B1267" t="s">
        <v>469</v>
      </c>
      <c r="C1267">
        <v>21</v>
      </c>
      <c r="D1267" t="s">
        <v>8</v>
      </c>
      <c r="E1267">
        <v>163</v>
      </c>
      <c r="F1267" t="s">
        <v>350</v>
      </c>
      <c r="G1267">
        <v>3.45</v>
      </c>
    </row>
    <row r="1268" spans="1:7" outlineLevel="1" collapsed="1" x14ac:dyDescent="0.3">
      <c r="B1268" s="1" t="s">
        <v>1302</v>
      </c>
      <c r="D1268" t="str">
        <f>D1267</f>
        <v>Male</v>
      </c>
      <c r="G1268">
        <f>SUBTOTAL(9,G1267:G1267)</f>
        <v>3.45</v>
      </c>
    </row>
    <row r="1269" spans="1:7" hidden="1" outlineLevel="2" x14ac:dyDescent="0.3">
      <c r="A1269">
        <v>8</v>
      </c>
      <c r="B1269" t="s">
        <v>24</v>
      </c>
      <c r="C1269">
        <v>22</v>
      </c>
      <c r="D1269" t="s">
        <v>8</v>
      </c>
      <c r="E1269">
        <v>21</v>
      </c>
      <c r="F1269" t="s">
        <v>25</v>
      </c>
      <c r="G1269">
        <v>1.1000000000000001</v>
      </c>
    </row>
    <row r="1270" spans="1:7" outlineLevel="1" collapsed="1" x14ac:dyDescent="0.3">
      <c r="B1270" s="1" t="s">
        <v>1303</v>
      </c>
      <c r="D1270" t="str">
        <f>D1269</f>
        <v>Male</v>
      </c>
      <c r="G1270">
        <f>SUBTOTAL(9,G1269:G1269)</f>
        <v>1.1000000000000001</v>
      </c>
    </row>
    <row r="1271" spans="1:7" hidden="1" outlineLevel="2" x14ac:dyDescent="0.3">
      <c r="A1271">
        <v>321</v>
      </c>
      <c r="B1271" t="s">
        <v>437</v>
      </c>
      <c r="C1271">
        <v>33</v>
      </c>
      <c r="D1271" t="s">
        <v>8</v>
      </c>
      <c r="E1271">
        <v>118</v>
      </c>
      <c r="F1271" t="s">
        <v>438</v>
      </c>
      <c r="G1271">
        <v>2.17</v>
      </c>
    </row>
    <row r="1272" spans="1:7" hidden="1" outlineLevel="2" x14ac:dyDescent="0.3">
      <c r="A1272">
        <v>689</v>
      </c>
      <c r="B1272" t="s">
        <v>437</v>
      </c>
      <c r="C1272">
        <v>33</v>
      </c>
      <c r="D1272" t="s">
        <v>8</v>
      </c>
      <c r="E1272">
        <v>76</v>
      </c>
      <c r="F1272" t="s">
        <v>82</v>
      </c>
      <c r="G1272">
        <v>3.15</v>
      </c>
    </row>
    <row r="1273" spans="1:7" outlineLevel="1" collapsed="1" x14ac:dyDescent="0.3">
      <c r="B1273" s="1" t="s">
        <v>1304</v>
      </c>
      <c r="D1273" t="str">
        <f>D1272</f>
        <v>Male</v>
      </c>
      <c r="G1273">
        <f>SUBTOTAL(9,G1271:G1272)</f>
        <v>5.32</v>
      </c>
    </row>
    <row r="1274" spans="1:7" hidden="1" outlineLevel="2" x14ac:dyDescent="0.3">
      <c r="A1274">
        <v>229</v>
      </c>
      <c r="B1274" t="s">
        <v>343</v>
      </c>
      <c r="C1274">
        <v>17</v>
      </c>
      <c r="D1274" t="s">
        <v>8</v>
      </c>
      <c r="E1274">
        <v>72</v>
      </c>
      <c r="F1274" t="s">
        <v>92</v>
      </c>
      <c r="G1274">
        <v>3.77</v>
      </c>
    </row>
    <row r="1275" spans="1:7" outlineLevel="1" collapsed="1" x14ac:dyDescent="0.3">
      <c r="B1275" s="1" t="s">
        <v>1305</v>
      </c>
      <c r="D1275" t="str">
        <f>D1274</f>
        <v>Male</v>
      </c>
      <c r="G1275">
        <f>SUBTOTAL(9,G1274:G1274)</f>
        <v>3.77</v>
      </c>
    </row>
    <row r="1276" spans="1:7" hidden="1" outlineLevel="2" x14ac:dyDescent="0.3">
      <c r="A1276">
        <v>90</v>
      </c>
      <c r="B1276" t="s">
        <v>167</v>
      </c>
      <c r="C1276">
        <v>21</v>
      </c>
      <c r="D1276" t="s">
        <v>8</v>
      </c>
      <c r="E1276">
        <v>60</v>
      </c>
      <c r="F1276" t="s">
        <v>110</v>
      </c>
      <c r="G1276">
        <v>3.54</v>
      </c>
    </row>
    <row r="1277" spans="1:7" hidden="1" outlineLevel="2" x14ac:dyDescent="0.3">
      <c r="A1277">
        <v>620</v>
      </c>
      <c r="B1277" t="s">
        <v>167</v>
      </c>
      <c r="C1277">
        <v>21</v>
      </c>
      <c r="D1277" t="s">
        <v>8</v>
      </c>
      <c r="E1277">
        <v>109</v>
      </c>
      <c r="F1277" t="s">
        <v>183</v>
      </c>
      <c r="G1277">
        <v>4.76</v>
      </c>
    </row>
    <row r="1278" spans="1:7" outlineLevel="1" collapsed="1" x14ac:dyDescent="0.3">
      <c r="B1278" s="1" t="s">
        <v>1306</v>
      </c>
      <c r="D1278" t="str">
        <f>D1277</f>
        <v>Male</v>
      </c>
      <c r="G1278">
        <f>SUBTOTAL(9,G1276:G1277)</f>
        <v>8.3000000000000007</v>
      </c>
    </row>
    <row r="1279" spans="1:7" hidden="1" outlineLevel="2" x14ac:dyDescent="0.3">
      <c r="A1279">
        <v>704</v>
      </c>
      <c r="B1279" t="s">
        <v>721</v>
      </c>
      <c r="C1279">
        <v>18</v>
      </c>
      <c r="D1279" t="s">
        <v>8</v>
      </c>
      <c r="E1279">
        <v>95</v>
      </c>
      <c r="F1279" t="s">
        <v>30</v>
      </c>
      <c r="G1279">
        <v>4.74</v>
      </c>
    </row>
    <row r="1280" spans="1:7" outlineLevel="1" collapsed="1" x14ac:dyDescent="0.3">
      <c r="B1280" s="1" t="s">
        <v>1307</v>
      </c>
      <c r="D1280" t="str">
        <f>D1279</f>
        <v>Male</v>
      </c>
      <c r="G1280">
        <f>SUBTOTAL(9,G1279:G1279)</f>
        <v>4.74</v>
      </c>
    </row>
    <row r="1281" spans="1:7" hidden="1" outlineLevel="2" x14ac:dyDescent="0.3">
      <c r="A1281">
        <v>337</v>
      </c>
      <c r="B1281" t="s">
        <v>454</v>
      </c>
      <c r="C1281">
        <v>15</v>
      </c>
      <c r="D1281" t="s">
        <v>8</v>
      </c>
      <c r="E1281">
        <v>17</v>
      </c>
      <c r="F1281" t="s">
        <v>166</v>
      </c>
      <c r="G1281">
        <v>1.7</v>
      </c>
    </row>
    <row r="1282" spans="1:7" hidden="1" outlineLevel="2" x14ac:dyDescent="0.3">
      <c r="A1282">
        <v>497</v>
      </c>
      <c r="B1282" t="s">
        <v>454</v>
      </c>
      <c r="C1282">
        <v>15</v>
      </c>
      <c r="D1282" t="s">
        <v>8</v>
      </c>
      <c r="E1282">
        <v>52</v>
      </c>
      <c r="F1282" t="s">
        <v>415</v>
      </c>
      <c r="G1282">
        <v>4.84</v>
      </c>
    </row>
    <row r="1283" spans="1:7" outlineLevel="1" collapsed="1" x14ac:dyDescent="0.3">
      <c r="B1283" s="1" t="s">
        <v>1308</v>
      </c>
      <c r="D1283" t="str">
        <f>D1282</f>
        <v>Male</v>
      </c>
      <c r="G1283">
        <f>SUBTOTAL(9,G1281:G1282)</f>
        <v>6.54</v>
      </c>
    </row>
    <row r="1284" spans="1:7" hidden="1" outlineLevel="2" x14ac:dyDescent="0.3">
      <c r="A1284">
        <v>625</v>
      </c>
      <c r="B1284" t="s">
        <v>669</v>
      </c>
      <c r="C1284">
        <v>20</v>
      </c>
      <c r="D1284" t="s">
        <v>8</v>
      </c>
      <c r="E1284">
        <v>133</v>
      </c>
      <c r="F1284" t="s">
        <v>74</v>
      </c>
      <c r="G1284">
        <v>4.09</v>
      </c>
    </row>
    <row r="1285" spans="1:7" outlineLevel="1" collapsed="1" x14ac:dyDescent="0.3">
      <c r="B1285" s="1" t="s">
        <v>1309</v>
      </c>
      <c r="D1285" t="str">
        <f>D1284</f>
        <v>Male</v>
      </c>
      <c r="G1285">
        <f>SUBTOTAL(9,G1284:G1284)</f>
        <v>4.09</v>
      </c>
    </row>
    <row r="1286" spans="1:7" hidden="1" outlineLevel="2" x14ac:dyDescent="0.3">
      <c r="A1286">
        <v>553</v>
      </c>
      <c r="B1286" t="s">
        <v>628</v>
      </c>
      <c r="C1286">
        <v>28</v>
      </c>
      <c r="D1286" t="s">
        <v>8</v>
      </c>
      <c r="E1286">
        <v>2</v>
      </c>
      <c r="F1286" t="s">
        <v>229</v>
      </c>
      <c r="G1286">
        <v>2.48</v>
      </c>
    </row>
    <row r="1287" spans="1:7" outlineLevel="1" collapsed="1" x14ac:dyDescent="0.3">
      <c r="B1287" s="1" t="s">
        <v>1310</v>
      </c>
      <c r="D1287" t="str">
        <f>D1286</f>
        <v>Male</v>
      </c>
      <c r="G1287">
        <f>SUBTOTAL(9,G1286:G1286)</f>
        <v>2.48</v>
      </c>
    </row>
    <row r="1288" spans="1:7" hidden="1" outlineLevel="2" x14ac:dyDescent="0.3">
      <c r="A1288">
        <v>60</v>
      </c>
      <c r="B1288" t="s">
        <v>124</v>
      </c>
      <c r="C1288">
        <v>34</v>
      </c>
      <c r="D1288" t="s">
        <v>8</v>
      </c>
      <c r="E1288">
        <v>44</v>
      </c>
      <c r="F1288" t="s">
        <v>76</v>
      </c>
      <c r="G1288">
        <v>2.38</v>
      </c>
    </row>
    <row r="1289" spans="1:7" outlineLevel="1" collapsed="1" x14ac:dyDescent="0.3">
      <c r="B1289" s="1" t="s">
        <v>1311</v>
      </c>
      <c r="D1289" t="str">
        <f>D1288</f>
        <v>Male</v>
      </c>
      <c r="G1289">
        <f>SUBTOTAL(9,G1288:G1288)</f>
        <v>2.38</v>
      </c>
    </row>
    <row r="1290" spans="1:7" hidden="1" outlineLevel="2" x14ac:dyDescent="0.3">
      <c r="A1290">
        <v>62</v>
      </c>
      <c r="B1290" t="s">
        <v>126</v>
      </c>
      <c r="C1290">
        <v>30</v>
      </c>
      <c r="D1290" t="s">
        <v>8</v>
      </c>
      <c r="E1290">
        <v>178</v>
      </c>
      <c r="F1290" t="s">
        <v>60</v>
      </c>
      <c r="G1290">
        <v>4.2300000000000004</v>
      </c>
    </row>
    <row r="1291" spans="1:7" hidden="1" outlineLevel="2" x14ac:dyDescent="0.3">
      <c r="A1291">
        <v>421</v>
      </c>
      <c r="B1291" t="s">
        <v>126</v>
      </c>
      <c r="C1291">
        <v>30</v>
      </c>
      <c r="D1291" t="s">
        <v>8</v>
      </c>
      <c r="E1291">
        <v>26</v>
      </c>
      <c r="F1291" t="s">
        <v>527</v>
      </c>
      <c r="G1291">
        <v>1.1200000000000001</v>
      </c>
    </row>
    <row r="1292" spans="1:7" outlineLevel="1" collapsed="1" x14ac:dyDescent="0.3">
      <c r="B1292" s="1" t="s">
        <v>1312</v>
      </c>
      <c r="D1292" t="str">
        <f>D1291</f>
        <v>Male</v>
      </c>
      <c r="G1292">
        <f>SUBTOTAL(9,G1290:G1291)</f>
        <v>5.3500000000000005</v>
      </c>
    </row>
    <row r="1293" spans="1:7" hidden="1" outlineLevel="2" x14ac:dyDescent="0.3">
      <c r="A1293">
        <v>5</v>
      </c>
      <c r="B1293" t="s">
        <v>18</v>
      </c>
      <c r="C1293">
        <v>22</v>
      </c>
      <c r="D1293" t="s">
        <v>8</v>
      </c>
      <c r="E1293">
        <v>81</v>
      </c>
      <c r="F1293" t="s">
        <v>19</v>
      </c>
      <c r="G1293">
        <v>3.61</v>
      </c>
    </row>
    <row r="1294" spans="1:7" hidden="1" outlineLevel="2" x14ac:dyDescent="0.3">
      <c r="A1294">
        <v>447</v>
      </c>
      <c r="B1294" t="s">
        <v>18</v>
      </c>
      <c r="C1294">
        <v>22</v>
      </c>
      <c r="D1294" t="s">
        <v>8</v>
      </c>
      <c r="E1294">
        <v>120</v>
      </c>
      <c r="F1294" t="s">
        <v>225</v>
      </c>
      <c r="G1294">
        <v>3.08</v>
      </c>
    </row>
    <row r="1295" spans="1:7" outlineLevel="1" collapsed="1" x14ac:dyDescent="0.3">
      <c r="B1295" s="1" t="s">
        <v>1313</v>
      </c>
      <c r="D1295" t="str">
        <f>D1294</f>
        <v>Male</v>
      </c>
      <c r="G1295">
        <f>SUBTOTAL(9,G1293:G1294)</f>
        <v>6.6899999999999995</v>
      </c>
    </row>
    <row r="1296" spans="1:7" hidden="1" outlineLevel="2" x14ac:dyDescent="0.3">
      <c r="A1296">
        <v>681</v>
      </c>
      <c r="B1296" t="s">
        <v>708</v>
      </c>
      <c r="C1296">
        <v>33</v>
      </c>
      <c r="D1296" t="s">
        <v>8</v>
      </c>
      <c r="E1296">
        <v>28</v>
      </c>
      <c r="F1296" t="s">
        <v>371</v>
      </c>
      <c r="G1296">
        <v>1.06</v>
      </c>
    </row>
    <row r="1297" spans="1:7" outlineLevel="1" collapsed="1" x14ac:dyDescent="0.3">
      <c r="B1297" s="1" t="s">
        <v>1314</v>
      </c>
      <c r="D1297" t="str">
        <f>D1296</f>
        <v>Male</v>
      </c>
      <c r="G1297">
        <f>SUBTOTAL(9,G1296:G1296)</f>
        <v>1.06</v>
      </c>
    </row>
    <row r="1298" spans="1:7" hidden="1" outlineLevel="2" x14ac:dyDescent="0.3">
      <c r="A1298">
        <v>59</v>
      </c>
      <c r="B1298" t="s">
        <v>122</v>
      </c>
      <c r="C1298">
        <v>19</v>
      </c>
      <c r="D1298" t="s">
        <v>8</v>
      </c>
      <c r="E1298">
        <v>105</v>
      </c>
      <c r="F1298" t="s">
        <v>123</v>
      </c>
      <c r="G1298">
        <v>3.03</v>
      </c>
    </row>
    <row r="1299" spans="1:7" outlineLevel="1" collapsed="1" x14ac:dyDescent="0.3">
      <c r="B1299" s="1" t="s">
        <v>1315</v>
      </c>
      <c r="D1299" t="str">
        <f>D1298</f>
        <v>Male</v>
      </c>
      <c r="G1299">
        <f>SUBTOTAL(9,G1298:G1298)</f>
        <v>3.03</v>
      </c>
    </row>
    <row r="1300" spans="1:7" hidden="1" outlineLevel="2" x14ac:dyDescent="0.3">
      <c r="A1300">
        <v>383</v>
      </c>
      <c r="B1300" t="s">
        <v>496</v>
      </c>
      <c r="C1300">
        <v>34</v>
      </c>
      <c r="D1300" t="s">
        <v>8</v>
      </c>
      <c r="E1300">
        <v>11</v>
      </c>
      <c r="F1300" t="s">
        <v>298</v>
      </c>
      <c r="G1300">
        <v>3.65</v>
      </c>
    </row>
    <row r="1301" spans="1:7" outlineLevel="1" collapsed="1" x14ac:dyDescent="0.3">
      <c r="B1301" s="1" t="s">
        <v>1316</v>
      </c>
      <c r="D1301" t="str">
        <f>D1300</f>
        <v>Male</v>
      </c>
      <c r="G1301">
        <f>SUBTOTAL(9,G1300:G1300)</f>
        <v>3.65</v>
      </c>
    </row>
    <row r="1302" spans="1:7" hidden="1" outlineLevel="2" x14ac:dyDescent="0.3">
      <c r="A1302">
        <v>518</v>
      </c>
      <c r="B1302" t="s">
        <v>605</v>
      </c>
      <c r="C1302">
        <v>29</v>
      </c>
      <c r="D1302" t="s">
        <v>8</v>
      </c>
      <c r="E1302">
        <v>160</v>
      </c>
      <c r="F1302" t="s">
        <v>78</v>
      </c>
      <c r="G1302">
        <v>4.4000000000000004</v>
      </c>
    </row>
    <row r="1303" spans="1:7" outlineLevel="1" collapsed="1" x14ac:dyDescent="0.3">
      <c r="B1303" s="1" t="s">
        <v>1317</v>
      </c>
      <c r="D1303" t="str">
        <f>D1302</f>
        <v>Male</v>
      </c>
      <c r="G1303">
        <f>SUBTOTAL(9,G1302:G1302)</f>
        <v>4.4000000000000004</v>
      </c>
    </row>
    <row r="1304" spans="1:7" hidden="1" outlineLevel="2" x14ac:dyDescent="0.3">
      <c r="A1304">
        <v>364</v>
      </c>
      <c r="B1304" t="s">
        <v>479</v>
      </c>
      <c r="C1304">
        <v>22</v>
      </c>
      <c r="D1304" t="s">
        <v>8</v>
      </c>
      <c r="E1304">
        <v>88</v>
      </c>
      <c r="F1304" t="s">
        <v>148</v>
      </c>
      <c r="G1304">
        <v>3.75</v>
      </c>
    </row>
    <row r="1305" spans="1:7" outlineLevel="1" collapsed="1" x14ac:dyDescent="0.3">
      <c r="B1305" s="1" t="s">
        <v>1318</v>
      </c>
      <c r="D1305" t="str">
        <f>D1304</f>
        <v>Male</v>
      </c>
      <c r="G1305">
        <f>SUBTOTAL(9,G1304:G1304)</f>
        <v>3.75</v>
      </c>
    </row>
    <row r="1306" spans="1:7" hidden="1" outlineLevel="2" x14ac:dyDescent="0.3">
      <c r="A1306">
        <v>279</v>
      </c>
      <c r="B1306" t="s">
        <v>395</v>
      </c>
      <c r="C1306">
        <v>20</v>
      </c>
      <c r="D1306" t="s">
        <v>8</v>
      </c>
      <c r="E1306">
        <v>163</v>
      </c>
      <c r="F1306" t="s">
        <v>350</v>
      </c>
      <c r="G1306">
        <v>3.45</v>
      </c>
    </row>
    <row r="1307" spans="1:7" outlineLevel="1" collapsed="1" x14ac:dyDescent="0.3">
      <c r="B1307" s="1" t="s">
        <v>1319</v>
      </c>
      <c r="D1307" t="str">
        <f>D1306</f>
        <v>Male</v>
      </c>
      <c r="G1307">
        <f>SUBTOTAL(9,G1306:G1306)</f>
        <v>3.45</v>
      </c>
    </row>
    <row r="1308" spans="1:7" hidden="1" outlineLevel="2" x14ac:dyDescent="0.3">
      <c r="A1308">
        <v>231</v>
      </c>
      <c r="B1308" t="s">
        <v>345</v>
      </c>
      <c r="C1308">
        <v>26</v>
      </c>
      <c r="D1308" t="s">
        <v>8</v>
      </c>
      <c r="E1308">
        <v>139</v>
      </c>
      <c r="F1308" t="s">
        <v>196</v>
      </c>
      <c r="G1308">
        <v>4.9400000000000004</v>
      </c>
    </row>
    <row r="1309" spans="1:7" outlineLevel="1" collapsed="1" x14ac:dyDescent="0.3">
      <c r="B1309" s="1" t="s">
        <v>1320</v>
      </c>
      <c r="D1309" t="str">
        <f>D1308</f>
        <v>Male</v>
      </c>
      <c r="G1309">
        <f>SUBTOTAL(9,G1308:G1308)</f>
        <v>4.9400000000000004</v>
      </c>
    </row>
    <row r="1310" spans="1:7" hidden="1" outlineLevel="2" x14ac:dyDescent="0.3">
      <c r="A1310">
        <v>696</v>
      </c>
      <c r="B1310" t="s">
        <v>713</v>
      </c>
      <c r="C1310">
        <v>30</v>
      </c>
      <c r="D1310" t="s">
        <v>8</v>
      </c>
      <c r="E1310">
        <v>87</v>
      </c>
      <c r="F1310" t="s">
        <v>210</v>
      </c>
      <c r="G1310">
        <v>4.43</v>
      </c>
    </row>
    <row r="1311" spans="1:7" outlineLevel="1" collapsed="1" x14ac:dyDescent="0.3">
      <c r="B1311" s="1" t="s">
        <v>1321</v>
      </c>
      <c r="D1311" t="str">
        <f>D1310</f>
        <v>Male</v>
      </c>
      <c r="G1311">
        <f>SUBTOTAL(9,G1310:G1310)</f>
        <v>4.43</v>
      </c>
    </row>
    <row r="1312" spans="1:7" hidden="1" outlineLevel="2" x14ac:dyDescent="0.3">
      <c r="A1312">
        <v>46</v>
      </c>
      <c r="B1312" t="s">
        <v>98</v>
      </c>
      <c r="C1312">
        <v>27</v>
      </c>
      <c r="D1312" t="s">
        <v>8</v>
      </c>
      <c r="E1312">
        <v>102</v>
      </c>
      <c r="F1312" t="s">
        <v>99</v>
      </c>
      <c r="G1312">
        <v>3.44</v>
      </c>
    </row>
    <row r="1313" spans="1:7" outlineLevel="1" collapsed="1" x14ac:dyDescent="0.3">
      <c r="B1313" s="1" t="s">
        <v>1322</v>
      </c>
      <c r="D1313" t="str">
        <f>D1312</f>
        <v>Male</v>
      </c>
      <c r="G1313">
        <f>SUBTOTAL(9,G1312:G1312)</f>
        <v>3.44</v>
      </c>
    </row>
    <row r="1314" spans="1:7" hidden="1" outlineLevel="2" x14ac:dyDescent="0.3">
      <c r="A1314">
        <v>340</v>
      </c>
      <c r="B1314" t="s">
        <v>457</v>
      </c>
      <c r="C1314">
        <v>22</v>
      </c>
      <c r="D1314" t="s">
        <v>8</v>
      </c>
      <c r="E1314">
        <v>41</v>
      </c>
      <c r="F1314" t="s">
        <v>198</v>
      </c>
      <c r="G1314">
        <v>4.75</v>
      </c>
    </row>
    <row r="1315" spans="1:7" outlineLevel="1" collapsed="1" x14ac:dyDescent="0.3">
      <c r="B1315" s="1" t="s">
        <v>1323</v>
      </c>
      <c r="D1315" t="str">
        <f>D1314</f>
        <v>Male</v>
      </c>
      <c r="G1315">
        <f>SUBTOTAL(9,G1314:G1314)</f>
        <v>4.75</v>
      </c>
    </row>
    <row r="1316" spans="1:7" hidden="1" outlineLevel="2" x14ac:dyDescent="0.3">
      <c r="A1316">
        <v>257</v>
      </c>
      <c r="B1316" t="s">
        <v>375</v>
      </c>
      <c r="C1316">
        <v>26</v>
      </c>
      <c r="D1316" t="s">
        <v>8</v>
      </c>
      <c r="E1316">
        <v>175</v>
      </c>
      <c r="F1316" t="s">
        <v>239</v>
      </c>
      <c r="G1316">
        <v>4.4800000000000004</v>
      </c>
    </row>
    <row r="1317" spans="1:7" outlineLevel="1" collapsed="1" x14ac:dyDescent="0.3">
      <c r="B1317" s="1" t="s">
        <v>1324</v>
      </c>
      <c r="D1317" t="str">
        <f>D1316</f>
        <v>Male</v>
      </c>
      <c r="G1317">
        <f>SUBTOTAL(9,G1316:G1316)</f>
        <v>4.4800000000000004</v>
      </c>
    </row>
    <row r="1318" spans="1:7" hidden="1" outlineLevel="2" x14ac:dyDescent="0.3">
      <c r="A1318">
        <v>514</v>
      </c>
      <c r="B1318" t="s">
        <v>602</v>
      </c>
      <c r="C1318">
        <v>21</v>
      </c>
      <c r="D1318" t="s">
        <v>8</v>
      </c>
      <c r="E1318">
        <v>21</v>
      </c>
      <c r="F1318" t="s">
        <v>25</v>
      </c>
      <c r="G1318">
        <v>1.1000000000000001</v>
      </c>
    </row>
    <row r="1319" spans="1:7" outlineLevel="1" collapsed="1" x14ac:dyDescent="0.3">
      <c r="B1319" s="1" t="s">
        <v>1325</v>
      </c>
      <c r="D1319" t="str">
        <f>D1318</f>
        <v>Male</v>
      </c>
      <c r="G1319">
        <f>SUBTOTAL(9,G1318:G1318)</f>
        <v>1.1000000000000001</v>
      </c>
    </row>
    <row r="1320" spans="1:7" hidden="1" outlineLevel="2" x14ac:dyDescent="0.3">
      <c r="A1320">
        <v>777</v>
      </c>
      <c r="B1320" t="s">
        <v>763</v>
      </c>
      <c r="C1320">
        <v>20</v>
      </c>
      <c r="D1320" t="s">
        <v>8</v>
      </c>
      <c r="E1320">
        <v>67</v>
      </c>
      <c r="F1320" t="s">
        <v>451</v>
      </c>
      <c r="G1320">
        <v>3.46</v>
      </c>
    </row>
    <row r="1321" spans="1:7" outlineLevel="1" collapsed="1" x14ac:dyDescent="0.3">
      <c r="B1321" s="1" t="s">
        <v>1326</v>
      </c>
      <c r="D1321" t="str">
        <f>D1320</f>
        <v>Male</v>
      </c>
      <c r="G1321">
        <f>SUBTOTAL(9,G1320:G1320)</f>
        <v>3.46</v>
      </c>
    </row>
    <row r="1322" spans="1:7" hidden="1" outlineLevel="2" x14ac:dyDescent="0.3">
      <c r="A1322">
        <v>93</v>
      </c>
      <c r="B1322" t="s">
        <v>172</v>
      </c>
      <c r="C1322">
        <v>22</v>
      </c>
      <c r="D1322" t="s">
        <v>8</v>
      </c>
      <c r="E1322">
        <v>88</v>
      </c>
      <c r="F1322" t="s">
        <v>148</v>
      </c>
      <c r="G1322">
        <v>3.75</v>
      </c>
    </row>
    <row r="1323" spans="1:7" hidden="1" outlineLevel="2" x14ac:dyDescent="0.3">
      <c r="A1323">
        <v>595</v>
      </c>
      <c r="B1323" t="s">
        <v>172</v>
      </c>
      <c r="C1323">
        <v>22</v>
      </c>
      <c r="D1323" t="s">
        <v>8</v>
      </c>
      <c r="E1323">
        <v>55</v>
      </c>
      <c r="F1323" t="s">
        <v>656</v>
      </c>
      <c r="G1323">
        <v>2.27</v>
      </c>
    </row>
    <row r="1324" spans="1:7" outlineLevel="1" collapsed="1" x14ac:dyDescent="0.3">
      <c r="B1324" s="1" t="s">
        <v>1327</v>
      </c>
      <c r="D1324" t="str">
        <f>D1323</f>
        <v>Male</v>
      </c>
      <c r="G1324">
        <f>SUBTOTAL(9,G1322:G1323)</f>
        <v>6.02</v>
      </c>
    </row>
    <row r="1325" spans="1:7" hidden="1" outlineLevel="2" x14ac:dyDescent="0.3">
      <c r="A1325">
        <v>54</v>
      </c>
      <c r="B1325" t="s">
        <v>113</v>
      </c>
      <c r="C1325">
        <v>10</v>
      </c>
      <c r="D1325" t="s">
        <v>8</v>
      </c>
      <c r="E1325">
        <v>25</v>
      </c>
      <c r="F1325" t="s">
        <v>114</v>
      </c>
      <c r="G1325">
        <v>4.3499999999999996</v>
      </c>
    </row>
    <row r="1326" spans="1:7" hidden="1" outlineLevel="2" x14ac:dyDescent="0.3">
      <c r="A1326">
        <v>141</v>
      </c>
      <c r="B1326" t="s">
        <v>113</v>
      </c>
      <c r="C1326">
        <v>10</v>
      </c>
      <c r="D1326" t="s">
        <v>8</v>
      </c>
      <c r="E1326">
        <v>60</v>
      </c>
      <c r="F1326" t="s">
        <v>110</v>
      </c>
      <c r="G1326">
        <v>3.54</v>
      </c>
    </row>
    <row r="1327" spans="1:7" outlineLevel="1" collapsed="1" x14ac:dyDescent="0.3">
      <c r="B1327" s="1" t="s">
        <v>1328</v>
      </c>
      <c r="D1327" t="str">
        <f>D1326</f>
        <v>Male</v>
      </c>
      <c r="G1327">
        <f>SUBTOTAL(9,G1325:G1326)</f>
        <v>7.89</v>
      </c>
    </row>
    <row r="1328" spans="1:7" hidden="1" outlineLevel="2" x14ac:dyDescent="0.3">
      <c r="A1328">
        <v>17</v>
      </c>
      <c r="B1328" t="s">
        <v>43</v>
      </c>
      <c r="C1328">
        <v>21</v>
      </c>
      <c r="D1328" t="s">
        <v>8</v>
      </c>
      <c r="E1328">
        <v>161</v>
      </c>
      <c r="F1328" t="s">
        <v>44</v>
      </c>
      <c r="G1328">
        <v>1.76</v>
      </c>
    </row>
    <row r="1329" spans="1:7" hidden="1" outlineLevel="2" x14ac:dyDescent="0.3">
      <c r="A1329">
        <v>442</v>
      </c>
      <c r="B1329" t="s">
        <v>43</v>
      </c>
      <c r="C1329">
        <v>21</v>
      </c>
      <c r="D1329" t="s">
        <v>8</v>
      </c>
      <c r="E1329">
        <v>84</v>
      </c>
      <c r="F1329" t="s">
        <v>116</v>
      </c>
      <c r="G1329">
        <v>3.79</v>
      </c>
    </row>
    <row r="1330" spans="1:7" hidden="1" outlineLevel="2" x14ac:dyDescent="0.3">
      <c r="A1330">
        <v>560</v>
      </c>
      <c r="B1330" t="s">
        <v>43</v>
      </c>
      <c r="C1330">
        <v>21</v>
      </c>
      <c r="D1330" t="s">
        <v>8</v>
      </c>
      <c r="E1330">
        <v>2</v>
      </c>
      <c r="F1330" t="s">
        <v>229</v>
      </c>
      <c r="G1330">
        <v>2.48</v>
      </c>
    </row>
    <row r="1331" spans="1:7" outlineLevel="1" collapsed="1" x14ac:dyDescent="0.3">
      <c r="B1331" s="1" t="s">
        <v>1329</v>
      </c>
      <c r="D1331" t="str">
        <f>D1330</f>
        <v>Male</v>
      </c>
      <c r="G1331">
        <f>SUBTOTAL(9,G1328:G1330)</f>
        <v>8.0299999999999994</v>
      </c>
    </row>
    <row r="1332" spans="1:7" hidden="1" outlineLevel="2" x14ac:dyDescent="0.3">
      <c r="A1332">
        <v>637</v>
      </c>
      <c r="B1332" t="s">
        <v>676</v>
      </c>
      <c r="C1332">
        <v>24</v>
      </c>
      <c r="D1332" t="s">
        <v>27</v>
      </c>
      <c r="E1332">
        <v>163</v>
      </c>
      <c r="F1332" t="s">
        <v>350</v>
      </c>
      <c r="G1332">
        <v>3.45</v>
      </c>
    </row>
    <row r="1333" spans="1:7" outlineLevel="1" collapsed="1" x14ac:dyDescent="0.3">
      <c r="B1333" s="1" t="s">
        <v>1330</v>
      </c>
      <c r="D1333" t="str">
        <f>D1332</f>
        <v>Other / Non-Disclosed</v>
      </c>
      <c r="G1333">
        <f>SUBTOTAL(9,G1332:G1332)</f>
        <v>3.45</v>
      </c>
    </row>
    <row r="1334" spans="1:7" hidden="1" outlineLevel="2" x14ac:dyDescent="0.3">
      <c r="A1334">
        <v>9</v>
      </c>
      <c r="B1334" t="s">
        <v>26</v>
      </c>
      <c r="C1334">
        <v>35</v>
      </c>
      <c r="D1334" t="s">
        <v>27</v>
      </c>
      <c r="E1334">
        <v>136</v>
      </c>
      <c r="F1334" t="s">
        <v>28</v>
      </c>
      <c r="G1334">
        <v>3.58</v>
      </c>
    </row>
    <row r="1335" spans="1:7" hidden="1" outlineLevel="2" x14ac:dyDescent="0.3">
      <c r="A1335">
        <v>484</v>
      </c>
      <c r="B1335" t="s">
        <v>26</v>
      </c>
      <c r="C1335">
        <v>35</v>
      </c>
      <c r="D1335" t="s">
        <v>27</v>
      </c>
      <c r="E1335">
        <v>39</v>
      </c>
      <c r="F1335" t="s">
        <v>171</v>
      </c>
      <c r="G1335">
        <v>3.94</v>
      </c>
    </row>
    <row r="1336" spans="1:7" outlineLevel="1" collapsed="1" x14ac:dyDescent="0.3">
      <c r="B1336" s="1" t="s">
        <v>1331</v>
      </c>
      <c r="D1336" t="str">
        <f>D1335</f>
        <v>Other / Non-Disclosed</v>
      </c>
      <c r="G1336">
        <f>SUBTOTAL(9,G1334:G1335)</f>
        <v>7.52</v>
      </c>
    </row>
    <row r="1337" spans="1:7" hidden="1" outlineLevel="2" x14ac:dyDescent="0.3">
      <c r="A1337">
        <v>242</v>
      </c>
      <c r="B1337" t="s">
        <v>361</v>
      </c>
      <c r="C1337">
        <v>16</v>
      </c>
      <c r="D1337" t="s">
        <v>27</v>
      </c>
      <c r="E1337">
        <v>39</v>
      </c>
      <c r="F1337" t="s">
        <v>171</v>
      </c>
      <c r="G1337">
        <v>3.94</v>
      </c>
    </row>
    <row r="1338" spans="1:7" outlineLevel="1" collapsed="1" x14ac:dyDescent="0.3">
      <c r="B1338" s="1" t="s">
        <v>1332</v>
      </c>
      <c r="D1338" t="str">
        <f>D1337</f>
        <v>Other / Non-Disclosed</v>
      </c>
      <c r="G1338">
        <f>SUBTOTAL(9,G1337:G1337)</f>
        <v>3.94</v>
      </c>
    </row>
    <row r="1339" spans="1:7" hidden="1" outlineLevel="2" x14ac:dyDescent="0.3">
      <c r="A1339">
        <v>82</v>
      </c>
      <c r="B1339" t="s">
        <v>156</v>
      </c>
      <c r="C1339">
        <v>16</v>
      </c>
      <c r="D1339" t="s">
        <v>27</v>
      </c>
      <c r="E1339">
        <v>160</v>
      </c>
      <c r="F1339" t="s">
        <v>78</v>
      </c>
      <c r="G1339">
        <v>4.4000000000000004</v>
      </c>
    </row>
    <row r="1340" spans="1:7" outlineLevel="1" collapsed="1" x14ac:dyDescent="0.3">
      <c r="B1340" s="1" t="s">
        <v>1333</v>
      </c>
      <c r="D1340" t="str">
        <f>D1339</f>
        <v>Other / Non-Disclosed</v>
      </c>
      <c r="G1340">
        <f>SUBTOTAL(9,G1339:G1339)</f>
        <v>4.4000000000000004</v>
      </c>
    </row>
    <row r="1341" spans="1:7" hidden="1" outlineLevel="2" x14ac:dyDescent="0.3">
      <c r="A1341">
        <v>237</v>
      </c>
      <c r="B1341" t="s">
        <v>353</v>
      </c>
      <c r="C1341">
        <v>20</v>
      </c>
      <c r="D1341" t="s">
        <v>27</v>
      </c>
      <c r="E1341">
        <v>16</v>
      </c>
      <c r="F1341" t="s">
        <v>354</v>
      </c>
      <c r="G1341">
        <v>3.55</v>
      </c>
    </row>
    <row r="1342" spans="1:7" hidden="1" outlineLevel="2" x14ac:dyDescent="0.3">
      <c r="A1342">
        <v>291</v>
      </c>
      <c r="B1342" t="s">
        <v>353</v>
      </c>
      <c r="C1342">
        <v>20</v>
      </c>
      <c r="D1342" t="s">
        <v>27</v>
      </c>
      <c r="E1342">
        <v>35</v>
      </c>
      <c r="F1342" t="s">
        <v>411</v>
      </c>
      <c r="G1342">
        <v>3.45</v>
      </c>
    </row>
    <row r="1343" spans="1:7" outlineLevel="1" collapsed="1" x14ac:dyDescent="0.3">
      <c r="B1343" s="1" t="s">
        <v>1334</v>
      </c>
      <c r="D1343" t="str">
        <f>D1342</f>
        <v>Other / Non-Disclosed</v>
      </c>
      <c r="G1343">
        <f>SUBTOTAL(9,G1341:G1342)</f>
        <v>7</v>
      </c>
    </row>
    <row r="1344" spans="1:7" hidden="1" outlineLevel="2" x14ac:dyDescent="0.3">
      <c r="A1344">
        <v>228</v>
      </c>
      <c r="B1344" t="s">
        <v>342</v>
      </c>
      <c r="C1344">
        <v>20</v>
      </c>
      <c r="D1344" t="s">
        <v>27</v>
      </c>
      <c r="E1344">
        <v>80</v>
      </c>
      <c r="F1344" t="s">
        <v>119</v>
      </c>
      <c r="G1344">
        <v>3.39</v>
      </c>
    </row>
    <row r="1345" spans="1:7" outlineLevel="1" collapsed="1" x14ac:dyDescent="0.3">
      <c r="B1345" s="1" t="s">
        <v>1335</v>
      </c>
      <c r="D1345" t="str">
        <f>D1344</f>
        <v>Other / Non-Disclosed</v>
      </c>
      <c r="G1345">
        <f>SUBTOTAL(9,G1344:G1344)</f>
        <v>3.39</v>
      </c>
    </row>
    <row r="1346" spans="1:7" hidden="1" outlineLevel="2" x14ac:dyDescent="0.3">
      <c r="A1346">
        <v>401</v>
      </c>
      <c r="B1346" t="s">
        <v>513</v>
      </c>
      <c r="C1346">
        <v>15</v>
      </c>
      <c r="D1346" t="s">
        <v>27</v>
      </c>
      <c r="E1346">
        <v>46</v>
      </c>
      <c r="F1346" t="s">
        <v>243</v>
      </c>
      <c r="G1346">
        <v>1.33</v>
      </c>
    </row>
    <row r="1347" spans="1:7" outlineLevel="1" collapsed="1" x14ac:dyDescent="0.3">
      <c r="B1347" s="1" t="s">
        <v>1336</v>
      </c>
      <c r="D1347" t="str">
        <f>D1346</f>
        <v>Other / Non-Disclosed</v>
      </c>
      <c r="G1347">
        <f>SUBTOTAL(9,G1346:G1346)</f>
        <v>1.33</v>
      </c>
    </row>
    <row r="1348" spans="1:7" hidden="1" outlineLevel="2" x14ac:dyDescent="0.3">
      <c r="A1348">
        <v>549</v>
      </c>
      <c r="B1348" t="s">
        <v>626</v>
      </c>
      <c r="C1348">
        <v>25</v>
      </c>
      <c r="D1348" t="s">
        <v>27</v>
      </c>
      <c r="E1348">
        <v>146</v>
      </c>
      <c r="F1348" t="s">
        <v>231</v>
      </c>
      <c r="G1348">
        <v>3.1</v>
      </c>
    </row>
    <row r="1349" spans="1:7" hidden="1" outlineLevel="2" x14ac:dyDescent="0.3">
      <c r="A1349">
        <v>629</v>
      </c>
      <c r="B1349" t="s">
        <v>626</v>
      </c>
      <c r="C1349">
        <v>25</v>
      </c>
      <c r="D1349" t="s">
        <v>27</v>
      </c>
      <c r="E1349">
        <v>107</v>
      </c>
      <c r="F1349" t="s">
        <v>352</v>
      </c>
      <c r="G1349">
        <v>2.1800000000000002</v>
      </c>
    </row>
    <row r="1350" spans="1:7" outlineLevel="1" collapsed="1" x14ac:dyDescent="0.3">
      <c r="B1350" s="1" t="s">
        <v>1337</v>
      </c>
      <c r="D1350" t="str">
        <f>D1349</f>
        <v>Other / Non-Disclosed</v>
      </c>
      <c r="G1350">
        <f>SUBTOTAL(9,G1348:G1349)</f>
        <v>5.28</v>
      </c>
    </row>
    <row r="1351" spans="1:7" hidden="1" outlineLevel="2" x14ac:dyDescent="0.3">
      <c r="A1351">
        <v>350</v>
      </c>
      <c r="B1351" t="s">
        <v>465</v>
      </c>
      <c r="C1351">
        <v>15</v>
      </c>
      <c r="D1351" t="s">
        <v>27</v>
      </c>
      <c r="E1351">
        <v>34</v>
      </c>
      <c r="F1351" t="s">
        <v>132</v>
      </c>
      <c r="G1351">
        <v>2.2200000000000002</v>
      </c>
    </row>
    <row r="1352" spans="1:7" outlineLevel="1" collapsed="1" x14ac:dyDescent="0.3">
      <c r="B1352" s="1" t="s">
        <v>1338</v>
      </c>
      <c r="D1352" t="str">
        <f>D1351</f>
        <v>Other / Non-Disclosed</v>
      </c>
      <c r="G1352">
        <f>SUBTOTAL(9,G1351:G1351)</f>
        <v>2.2200000000000002</v>
      </c>
    </row>
    <row r="1353" spans="1:7" hidden="1" outlineLevel="2" x14ac:dyDescent="0.3">
      <c r="A1353">
        <v>22</v>
      </c>
      <c r="B1353" t="s">
        <v>53</v>
      </c>
      <c r="C1353">
        <v>38</v>
      </c>
      <c r="D1353" t="s">
        <v>27</v>
      </c>
      <c r="E1353">
        <v>24</v>
      </c>
      <c r="F1353" t="s">
        <v>54</v>
      </c>
      <c r="G1353">
        <v>3.81</v>
      </c>
    </row>
    <row r="1354" spans="1:7" hidden="1" outlineLevel="2" x14ac:dyDescent="0.3">
      <c r="A1354">
        <v>747</v>
      </c>
      <c r="B1354" t="s">
        <v>53</v>
      </c>
      <c r="C1354">
        <v>38</v>
      </c>
      <c r="D1354" t="s">
        <v>27</v>
      </c>
      <c r="E1354">
        <v>146</v>
      </c>
      <c r="F1354" t="s">
        <v>231</v>
      </c>
      <c r="G1354">
        <v>3.1</v>
      </c>
    </row>
    <row r="1355" spans="1:7" outlineLevel="1" collapsed="1" x14ac:dyDescent="0.3">
      <c r="B1355" s="1" t="s">
        <v>1339</v>
      </c>
      <c r="D1355" t="str">
        <f>D1354</f>
        <v>Other / Non-Disclosed</v>
      </c>
      <c r="G1355">
        <f>SUBTOTAL(9,G1353:G1354)</f>
        <v>6.91</v>
      </c>
    </row>
    <row r="1356" spans="1:7" hidden="1" outlineLevel="2" x14ac:dyDescent="0.3">
      <c r="A1356">
        <v>111</v>
      </c>
      <c r="B1356" t="s">
        <v>197</v>
      </c>
      <c r="C1356">
        <v>21</v>
      </c>
      <c r="D1356" t="s">
        <v>27</v>
      </c>
      <c r="E1356">
        <v>41</v>
      </c>
      <c r="F1356" t="s">
        <v>198</v>
      </c>
      <c r="G1356">
        <v>4.75</v>
      </c>
    </row>
    <row r="1357" spans="1:7" outlineLevel="1" collapsed="1" x14ac:dyDescent="0.3">
      <c r="B1357" s="1" t="s">
        <v>1340</v>
      </c>
      <c r="D1357" t="str">
        <f>D1356</f>
        <v>Other / Non-Disclosed</v>
      </c>
      <c r="G1357">
        <f>SUBTOTAL(9,G1356:G1356)</f>
        <v>4.75</v>
      </c>
    </row>
    <row r="1358" spans="1:7" x14ac:dyDescent="0.3">
      <c r="B1358" s="1" t="s">
        <v>1341</v>
      </c>
      <c r="G1358">
        <f>SUBTOTAL(9,G2:G1356)</f>
        <v>2379.77</v>
      </c>
    </row>
  </sheetData>
  <sortState xmlns:xlrd2="http://schemas.microsoft.com/office/spreadsheetml/2017/richdata2" ref="A2:G1356">
    <sortCondition ref="D2:D1356"/>
    <sortCondition ref="B2:B1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3"/>
  <sheetViews>
    <sheetView topLeftCell="A49" workbookViewId="0">
      <selection activeCell="E3" sqref="E3:E63"/>
    </sheetView>
  </sheetViews>
  <sheetFormatPr defaultRowHeight="14.4" x14ac:dyDescent="0.3"/>
  <cols>
    <col min="2" max="2" width="12.21875" customWidth="1"/>
  </cols>
  <sheetData>
    <row r="1" spans="1:6" x14ac:dyDescent="0.3">
      <c r="A1" s="3"/>
      <c r="B1" s="3" t="s">
        <v>0</v>
      </c>
      <c r="C1" s="3" t="s">
        <v>2</v>
      </c>
      <c r="D1" s="3" t="s">
        <v>4</v>
      </c>
      <c r="E1" s="3" t="s">
        <v>6</v>
      </c>
      <c r="F1" s="2"/>
    </row>
    <row r="2" spans="1:6" x14ac:dyDescent="0.3">
      <c r="A2" s="3" t="s">
        <v>3</v>
      </c>
      <c r="B2" s="3" t="s">
        <v>1</v>
      </c>
      <c r="C2" s="3"/>
      <c r="D2" s="3"/>
      <c r="E2" s="3"/>
      <c r="F2" s="3"/>
    </row>
    <row r="3" spans="1:6" x14ac:dyDescent="0.3">
      <c r="A3" s="9" t="s">
        <v>39</v>
      </c>
      <c r="B3" s="4" t="s">
        <v>238</v>
      </c>
      <c r="C3" s="5">
        <v>142</v>
      </c>
      <c r="D3" s="5">
        <v>35</v>
      </c>
      <c r="E3" s="5">
        <v>175</v>
      </c>
      <c r="F3" s="5">
        <v>4.4800000000000004</v>
      </c>
    </row>
    <row r="4" spans="1:6" x14ac:dyDescent="0.3">
      <c r="A4" s="9"/>
      <c r="B4" s="3" t="s">
        <v>390</v>
      </c>
      <c r="C4" s="6">
        <v>426</v>
      </c>
      <c r="D4" s="6">
        <v>29</v>
      </c>
      <c r="E4" s="6">
        <v>117.5</v>
      </c>
      <c r="F4" s="6">
        <v>4.32</v>
      </c>
    </row>
    <row r="5" spans="1:6" x14ac:dyDescent="0.3">
      <c r="A5" s="9"/>
      <c r="B5" s="7" t="s">
        <v>762</v>
      </c>
      <c r="C5" s="5">
        <v>775</v>
      </c>
      <c r="D5" s="5">
        <v>21</v>
      </c>
      <c r="E5" s="5">
        <v>60</v>
      </c>
      <c r="F5" s="5">
        <v>3.54</v>
      </c>
    </row>
    <row r="6" spans="1:6" x14ac:dyDescent="0.3">
      <c r="A6" s="9"/>
      <c r="B6" s="3" t="s">
        <v>603</v>
      </c>
      <c r="C6" s="6">
        <v>516</v>
      </c>
      <c r="D6" s="6">
        <v>39</v>
      </c>
      <c r="E6" s="6">
        <v>35</v>
      </c>
      <c r="F6" s="6">
        <v>3.45</v>
      </c>
    </row>
    <row r="7" spans="1:6" x14ac:dyDescent="0.3">
      <c r="A7" s="9"/>
      <c r="B7" s="7" t="s">
        <v>534</v>
      </c>
      <c r="C7" s="5">
        <v>429</v>
      </c>
      <c r="D7" s="5">
        <v>22</v>
      </c>
      <c r="E7" s="5">
        <v>179</v>
      </c>
      <c r="F7" s="5">
        <v>4.4800000000000004</v>
      </c>
    </row>
    <row r="8" spans="1:6" x14ac:dyDescent="0.3">
      <c r="A8" s="9"/>
      <c r="B8" s="3" t="s">
        <v>253</v>
      </c>
      <c r="C8" s="6">
        <v>155</v>
      </c>
      <c r="D8" s="6">
        <v>10</v>
      </c>
      <c r="E8" s="6">
        <v>98</v>
      </c>
      <c r="F8" s="6">
        <v>2.89</v>
      </c>
    </row>
    <row r="9" spans="1:6" x14ac:dyDescent="0.3">
      <c r="A9" s="9"/>
      <c r="B9" s="7" t="s">
        <v>543</v>
      </c>
      <c r="C9" s="5">
        <v>529</v>
      </c>
      <c r="D9" s="5">
        <v>29</v>
      </c>
      <c r="E9" s="5">
        <v>129</v>
      </c>
      <c r="F9" s="5">
        <v>1.7549999999999999</v>
      </c>
    </row>
    <row r="10" spans="1:6" x14ac:dyDescent="0.3">
      <c r="A10" s="9"/>
      <c r="B10" s="3" t="s">
        <v>698</v>
      </c>
      <c r="C10" s="6">
        <v>666</v>
      </c>
      <c r="D10" s="6">
        <v>20</v>
      </c>
      <c r="E10" s="6">
        <v>82</v>
      </c>
      <c r="F10" s="6">
        <v>4.9000000000000004</v>
      </c>
    </row>
    <row r="11" spans="1:6" x14ac:dyDescent="0.3">
      <c r="A11" s="9"/>
      <c r="B11" s="7" t="s">
        <v>89</v>
      </c>
      <c r="C11" s="5">
        <v>41</v>
      </c>
      <c r="D11" s="5">
        <v>20</v>
      </c>
      <c r="E11" s="5">
        <v>7</v>
      </c>
      <c r="F11" s="5">
        <v>1.33</v>
      </c>
    </row>
    <row r="12" spans="1:6" ht="19.2" x14ac:dyDescent="0.3">
      <c r="A12" s="9"/>
      <c r="B12" s="3" t="s">
        <v>284</v>
      </c>
      <c r="C12" s="6">
        <v>373.5</v>
      </c>
      <c r="D12" s="6">
        <v>20</v>
      </c>
      <c r="E12" s="6">
        <v>72</v>
      </c>
      <c r="F12" s="6">
        <v>4.5149999999999997</v>
      </c>
    </row>
    <row r="13" spans="1:6" ht="19.2" x14ac:dyDescent="0.3">
      <c r="A13" s="9"/>
      <c r="B13" s="7" t="s">
        <v>170</v>
      </c>
      <c r="C13" s="5">
        <v>92</v>
      </c>
      <c r="D13" s="5">
        <v>21</v>
      </c>
      <c r="E13" s="5">
        <v>39</v>
      </c>
      <c r="F13" s="5">
        <v>3.94</v>
      </c>
    </row>
    <row r="14" spans="1:6" x14ac:dyDescent="0.3">
      <c r="A14" s="9"/>
      <c r="B14" s="3" t="s">
        <v>688</v>
      </c>
      <c r="C14" s="6">
        <v>653</v>
      </c>
      <c r="D14" s="6">
        <v>32</v>
      </c>
      <c r="E14" s="6">
        <v>53</v>
      </c>
      <c r="F14" s="6">
        <v>2.0499999999999998</v>
      </c>
    </row>
    <row r="15" spans="1:6" ht="19.2" x14ac:dyDescent="0.3">
      <c r="A15" s="9"/>
      <c r="B15" s="7" t="s">
        <v>464</v>
      </c>
      <c r="C15" s="5">
        <v>425.5</v>
      </c>
      <c r="D15" s="5">
        <v>23</v>
      </c>
      <c r="E15" s="5">
        <v>46.5</v>
      </c>
      <c r="F15" s="5">
        <v>4.2750000000000004</v>
      </c>
    </row>
    <row r="16" spans="1:6" ht="19.2" x14ac:dyDescent="0.3">
      <c r="A16" s="9"/>
      <c r="B16" s="3" t="s">
        <v>497</v>
      </c>
      <c r="C16" s="6">
        <v>394</v>
      </c>
      <c r="D16" s="6">
        <v>21</v>
      </c>
      <c r="E16" s="6">
        <v>90.5</v>
      </c>
      <c r="F16" s="6">
        <v>1.5249999999999999</v>
      </c>
    </row>
    <row r="17" spans="1:6" x14ac:dyDescent="0.3">
      <c r="A17" s="9"/>
      <c r="B17" s="7" t="s">
        <v>337</v>
      </c>
      <c r="C17" s="5">
        <v>435.33333299999998</v>
      </c>
      <c r="D17" s="5">
        <v>22</v>
      </c>
      <c r="E17" s="5">
        <v>113</v>
      </c>
      <c r="F17" s="5">
        <v>4.6100000000000003</v>
      </c>
    </row>
    <row r="18" spans="1:6" ht="19.2" x14ac:dyDescent="0.3">
      <c r="A18" s="9"/>
      <c r="B18" s="3" t="s">
        <v>133</v>
      </c>
      <c r="C18" s="6">
        <v>66</v>
      </c>
      <c r="D18" s="6">
        <v>21</v>
      </c>
      <c r="E18" s="6">
        <v>6</v>
      </c>
      <c r="F18" s="6">
        <v>3.7</v>
      </c>
    </row>
    <row r="19" spans="1:6" x14ac:dyDescent="0.3">
      <c r="A19" s="9"/>
      <c r="B19" s="7" t="s">
        <v>649</v>
      </c>
      <c r="C19" s="5">
        <v>586</v>
      </c>
      <c r="D19" s="5">
        <v>23</v>
      </c>
      <c r="E19" s="5">
        <v>155</v>
      </c>
      <c r="F19" s="5">
        <v>1.01</v>
      </c>
    </row>
    <row r="20" spans="1:6" x14ac:dyDescent="0.3">
      <c r="A20" s="9"/>
      <c r="B20" s="3" t="s">
        <v>548</v>
      </c>
      <c r="C20" s="6">
        <v>448</v>
      </c>
      <c r="D20" s="6">
        <v>18</v>
      </c>
      <c r="E20" s="6">
        <v>68</v>
      </c>
      <c r="F20" s="6">
        <v>4.32</v>
      </c>
    </row>
    <row r="21" spans="1:6" ht="19.2" x14ac:dyDescent="0.3">
      <c r="A21" s="9"/>
      <c r="B21" s="7" t="s">
        <v>547</v>
      </c>
      <c r="C21" s="5">
        <v>446</v>
      </c>
      <c r="D21" s="5">
        <v>7</v>
      </c>
      <c r="E21" s="5">
        <v>119</v>
      </c>
      <c r="F21" s="5">
        <v>4.32</v>
      </c>
    </row>
    <row r="22" spans="1:6" x14ac:dyDescent="0.3">
      <c r="A22" s="9"/>
      <c r="B22" s="3" t="s">
        <v>580</v>
      </c>
      <c r="C22" s="6">
        <v>485</v>
      </c>
      <c r="D22" s="6">
        <v>26</v>
      </c>
      <c r="E22" s="6">
        <v>94</v>
      </c>
      <c r="F22" s="6">
        <v>3.49</v>
      </c>
    </row>
    <row r="23" spans="1:6" x14ac:dyDescent="0.3">
      <c r="A23" s="9"/>
      <c r="B23" s="7" t="s">
        <v>551</v>
      </c>
      <c r="C23" s="5">
        <v>451</v>
      </c>
      <c r="D23" s="5">
        <v>15</v>
      </c>
      <c r="E23" s="5">
        <v>122</v>
      </c>
      <c r="F23" s="5">
        <v>2.85</v>
      </c>
    </row>
    <row r="24" spans="1:6" x14ac:dyDescent="0.3">
      <c r="A24" s="9"/>
      <c r="B24" s="3" t="s">
        <v>738</v>
      </c>
      <c r="C24" s="6">
        <v>731</v>
      </c>
      <c r="D24" s="6">
        <v>22</v>
      </c>
      <c r="E24" s="6">
        <v>12</v>
      </c>
      <c r="F24" s="6">
        <v>1.02</v>
      </c>
    </row>
    <row r="25" spans="1:6" x14ac:dyDescent="0.3">
      <c r="A25" s="9"/>
      <c r="B25" s="7" t="s">
        <v>528</v>
      </c>
      <c r="C25" s="5">
        <v>470.5</v>
      </c>
      <c r="D25" s="5">
        <v>24</v>
      </c>
      <c r="E25" s="5">
        <v>147</v>
      </c>
      <c r="F25" s="5">
        <v>3.67</v>
      </c>
    </row>
    <row r="26" spans="1:6" ht="19.2" x14ac:dyDescent="0.3">
      <c r="A26" s="9"/>
      <c r="B26" s="3" t="s">
        <v>206</v>
      </c>
      <c r="C26" s="6">
        <v>117</v>
      </c>
      <c r="D26" s="6">
        <v>21</v>
      </c>
      <c r="E26" s="6">
        <v>117</v>
      </c>
      <c r="F26" s="6">
        <v>1.79</v>
      </c>
    </row>
    <row r="27" spans="1:6" x14ac:dyDescent="0.3">
      <c r="A27" s="9"/>
      <c r="B27" s="7" t="s">
        <v>209</v>
      </c>
      <c r="C27" s="5">
        <v>119</v>
      </c>
      <c r="D27" s="5">
        <v>15</v>
      </c>
      <c r="E27" s="5">
        <v>87</v>
      </c>
      <c r="F27" s="5">
        <v>4.43</v>
      </c>
    </row>
    <row r="28" spans="1:6" ht="19.2" x14ac:dyDescent="0.3">
      <c r="A28" s="9"/>
      <c r="B28" s="3" t="s">
        <v>540</v>
      </c>
      <c r="C28" s="6">
        <v>437</v>
      </c>
      <c r="D28" s="6">
        <v>24</v>
      </c>
      <c r="E28" s="6">
        <v>43</v>
      </c>
      <c r="F28" s="6">
        <v>3.54</v>
      </c>
    </row>
    <row r="29" spans="1:6" x14ac:dyDescent="0.3">
      <c r="A29" s="9"/>
      <c r="B29" s="7" t="s">
        <v>321</v>
      </c>
      <c r="C29" s="5">
        <v>206</v>
      </c>
      <c r="D29" s="5">
        <v>20</v>
      </c>
      <c r="E29" s="5">
        <v>78</v>
      </c>
      <c r="F29" s="5">
        <v>4.4000000000000004</v>
      </c>
    </row>
    <row r="30" spans="1:6" x14ac:dyDescent="0.3">
      <c r="A30" s="9"/>
      <c r="B30" s="3" t="s">
        <v>139</v>
      </c>
      <c r="C30" s="6">
        <v>105.5</v>
      </c>
      <c r="D30" s="6">
        <v>20</v>
      </c>
      <c r="E30" s="6">
        <v>18.5</v>
      </c>
      <c r="F30" s="6">
        <v>2.9550000000000001</v>
      </c>
    </row>
    <row r="31" spans="1:6" ht="19.2" x14ac:dyDescent="0.3">
      <c r="A31" s="9"/>
      <c r="B31" s="7" t="s">
        <v>270</v>
      </c>
      <c r="C31" s="5">
        <v>233</v>
      </c>
      <c r="D31" s="5">
        <v>16</v>
      </c>
      <c r="E31" s="5">
        <v>146</v>
      </c>
      <c r="F31" s="5">
        <v>2.23</v>
      </c>
    </row>
    <row r="32" spans="1:6" x14ac:dyDescent="0.3">
      <c r="A32" s="9"/>
      <c r="B32" s="3" t="s">
        <v>154</v>
      </c>
      <c r="C32" s="6">
        <v>81</v>
      </c>
      <c r="D32" s="6">
        <v>8</v>
      </c>
      <c r="E32" s="6">
        <v>174</v>
      </c>
      <c r="F32" s="6">
        <v>3.47</v>
      </c>
    </row>
    <row r="33" spans="1:6" x14ac:dyDescent="0.3">
      <c r="A33" s="4" t="s">
        <v>1345</v>
      </c>
      <c r="B33" s="4" t="s">
        <v>1345</v>
      </c>
      <c r="C33" s="5" t="s">
        <v>1345</v>
      </c>
      <c r="D33" s="5" t="s">
        <v>1345</v>
      </c>
      <c r="E33" s="5" t="s">
        <v>1345</v>
      </c>
      <c r="F33" s="5" t="s">
        <v>1345</v>
      </c>
    </row>
    <row r="34" spans="1:6" x14ac:dyDescent="0.3">
      <c r="A34" s="10" t="s">
        <v>8</v>
      </c>
      <c r="B34" s="8" t="s">
        <v>124</v>
      </c>
      <c r="C34" s="6">
        <v>60</v>
      </c>
      <c r="D34" s="6">
        <v>34</v>
      </c>
      <c r="E34" s="6">
        <v>44</v>
      </c>
      <c r="F34" s="6">
        <v>2.38</v>
      </c>
    </row>
    <row r="35" spans="1:6" x14ac:dyDescent="0.3">
      <c r="A35" s="10"/>
      <c r="B35" s="7" t="s">
        <v>126</v>
      </c>
      <c r="C35" s="5">
        <v>241.5</v>
      </c>
      <c r="D35" s="5">
        <v>30</v>
      </c>
      <c r="E35" s="5">
        <v>102</v>
      </c>
      <c r="F35" s="5">
        <v>2.6749999999999998</v>
      </c>
    </row>
    <row r="36" spans="1:6" x14ac:dyDescent="0.3">
      <c r="A36" s="10"/>
      <c r="B36" s="3" t="s">
        <v>18</v>
      </c>
      <c r="C36" s="6">
        <v>226</v>
      </c>
      <c r="D36" s="6">
        <v>22</v>
      </c>
      <c r="E36" s="6">
        <v>100.5</v>
      </c>
      <c r="F36" s="6">
        <v>3.3450000000000002</v>
      </c>
    </row>
    <row r="37" spans="1:6" x14ac:dyDescent="0.3">
      <c r="A37" s="10"/>
      <c r="B37" s="7" t="s">
        <v>708</v>
      </c>
      <c r="C37" s="5">
        <v>681</v>
      </c>
      <c r="D37" s="5">
        <v>33</v>
      </c>
      <c r="E37" s="5">
        <v>28</v>
      </c>
      <c r="F37" s="5">
        <v>1.06</v>
      </c>
    </row>
    <row r="38" spans="1:6" x14ac:dyDescent="0.3">
      <c r="A38" s="10"/>
      <c r="B38" s="3" t="s">
        <v>122</v>
      </c>
      <c r="C38" s="6">
        <v>59</v>
      </c>
      <c r="D38" s="6">
        <v>19</v>
      </c>
      <c r="E38" s="6">
        <v>105</v>
      </c>
      <c r="F38" s="6">
        <v>3.03</v>
      </c>
    </row>
    <row r="39" spans="1:6" x14ac:dyDescent="0.3">
      <c r="A39" s="10"/>
      <c r="B39" s="7" t="s">
        <v>496</v>
      </c>
      <c r="C39" s="5">
        <v>383</v>
      </c>
      <c r="D39" s="5">
        <v>34</v>
      </c>
      <c r="E39" s="5">
        <v>11</v>
      </c>
      <c r="F39" s="5">
        <v>3.65</v>
      </c>
    </row>
    <row r="40" spans="1:6" ht="19.2" x14ac:dyDescent="0.3">
      <c r="A40" s="10"/>
      <c r="B40" s="3" t="s">
        <v>605</v>
      </c>
      <c r="C40" s="6">
        <v>518</v>
      </c>
      <c r="D40" s="6">
        <v>29</v>
      </c>
      <c r="E40" s="6">
        <v>160</v>
      </c>
      <c r="F40" s="6">
        <v>4.4000000000000004</v>
      </c>
    </row>
    <row r="41" spans="1:6" ht="19.2" x14ac:dyDescent="0.3">
      <c r="A41" s="10"/>
      <c r="B41" s="7" t="s">
        <v>479</v>
      </c>
      <c r="C41" s="5">
        <v>364</v>
      </c>
      <c r="D41" s="5">
        <v>22</v>
      </c>
      <c r="E41" s="5">
        <v>88</v>
      </c>
      <c r="F41" s="5">
        <v>3.75</v>
      </c>
    </row>
    <row r="42" spans="1:6" x14ac:dyDescent="0.3">
      <c r="A42" s="10"/>
      <c r="B42" s="3" t="s">
        <v>395</v>
      </c>
      <c r="C42" s="6">
        <v>279</v>
      </c>
      <c r="D42" s="6">
        <v>20</v>
      </c>
      <c r="E42" s="6">
        <v>163</v>
      </c>
      <c r="F42" s="6">
        <v>3.45</v>
      </c>
    </row>
    <row r="43" spans="1:6" ht="19.2" x14ac:dyDescent="0.3">
      <c r="A43" s="10"/>
      <c r="B43" s="7" t="s">
        <v>345</v>
      </c>
      <c r="C43" s="5">
        <v>231</v>
      </c>
      <c r="D43" s="5">
        <v>26</v>
      </c>
      <c r="E43" s="5">
        <v>139</v>
      </c>
      <c r="F43" s="5">
        <v>4.9400000000000004</v>
      </c>
    </row>
    <row r="44" spans="1:6" x14ac:dyDescent="0.3">
      <c r="A44" s="10"/>
      <c r="B44" s="3" t="s">
        <v>713</v>
      </c>
      <c r="C44" s="6">
        <v>696</v>
      </c>
      <c r="D44" s="6">
        <v>30</v>
      </c>
      <c r="E44" s="6">
        <v>87</v>
      </c>
      <c r="F44" s="6">
        <v>4.43</v>
      </c>
    </row>
    <row r="45" spans="1:6" x14ac:dyDescent="0.3">
      <c r="A45" s="10"/>
      <c r="B45" s="7" t="s">
        <v>98</v>
      </c>
      <c r="C45" s="5">
        <v>46</v>
      </c>
      <c r="D45" s="5">
        <v>27</v>
      </c>
      <c r="E45" s="5">
        <v>102</v>
      </c>
      <c r="F45" s="5">
        <v>3.44</v>
      </c>
    </row>
    <row r="46" spans="1:6" ht="19.2" x14ac:dyDescent="0.3">
      <c r="A46" s="10"/>
      <c r="B46" s="3" t="s">
        <v>457</v>
      </c>
      <c r="C46" s="6">
        <v>340</v>
      </c>
      <c r="D46" s="6">
        <v>22</v>
      </c>
      <c r="E46" s="6">
        <v>41</v>
      </c>
      <c r="F46" s="6">
        <v>4.75</v>
      </c>
    </row>
    <row r="47" spans="1:6" x14ac:dyDescent="0.3">
      <c r="A47" s="10"/>
      <c r="B47" s="7" t="s">
        <v>375</v>
      </c>
      <c r="C47" s="5">
        <v>257</v>
      </c>
      <c r="D47" s="5">
        <v>26</v>
      </c>
      <c r="E47" s="5">
        <v>175</v>
      </c>
      <c r="F47" s="5">
        <v>4.4800000000000004</v>
      </c>
    </row>
    <row r="48" spans="1:6" x14ac:dyDescent="0.3">
      <c r="A48" s="10"/>
      <c r="B48" s="3" t="s">
        <v>602</v>
      </c>
      <c r="C48" s="6">
        <v>514</v>
      </c>
      <c r="D48" s="6">
        <v>21</v>
      </c>
      <c r="E48" s="6">
        <v>21</v>
      </c>
      <c r="F48" s="6">
        <v>1.1000000000000001</v>
      </c>
    </row>
    <row r="49" spans="1:6" x14ac:dyDescent="0.3">
      <c r="A49" s="10"/>
      <c r="B49" s="7" t="s">
        <v>763</v>
      </c>
      <c r="C49" s="5">
        <v>777</v>
      </c>
      <c r="D49" s="5">
        <v>20</v>
      </c>
      <c r="E49" s="5">
        <v>67</v>
      </c>
      <c r="F49" s="5">
        <v>3.46</v>
      </c>
    </row>
    <row r="50" spans="1:6" x14ac:dyDescent="0.3">
      <c r="A50" s="10"/>
      <c r="B50" s="3" t="s">
        <v>172</v>
      </c>
      <c r="C50" s="6">
        <v>344</v>
      </c>
      <c r="D50" s="6">
        <v>22</v>
      </c>
      <c r="E50" s="6">
        <v>71.5</v>
      </c>
      <c r="F50" s="6">
        <v>3.01</v>
      </c>
    </row>
    <row r="51" spans="1:6" x14ac:dyDescent="0.3">
      <c r="A51" s="10"/>
      <c r="B51" s="7" t="s">
        <v>113</v>
      </c>
      <c r="C51" s="5">
        <v>97.5</v>
      </c>
      <c r="D51" s="5">
        <v>10</v>
      </c>
      <c r="E51" s="5">
        <v>42.5</v>
      </c>
      <c r="F51" s="5">
        <v>3.9449999999999998</v>
      </c>
    </row>
    <row r="52" spans="1:6" x14ac:dyDescent="0.3">
      <c r="A52" s="10"/>
      <c r="B52" s="3" t="s">
        <v>43</v>
      </c>
      <c r="C52" s="6">
        <v>339.66666700000002</v>
      </c>
      <c r="D52" s="6">
        <v>21</v>
      </c>
      <c r="E52" s="6">
        <v>82.333332999999996</v>
      </c>
      <c r="F52" s="6">
        <v>2.6766670000000001</v>
      </c>
    </row>
    <row r="53" spans="1:6" x14ac:dyDescent="0.3">
      <c r="A53" s="9" t="s">
        <v>27</v>
      </c>
      <c r="B53" s="4" t="s">
        <v>676</v>
      </c>
      <c r="C53" s="5">
        <v>637</v>
      </c>
      <c r="D53" s="5">
        <v>24</v>
      </c>
      <c r="E53" s="5">
        <v>163</v>
      </c>
      <c r="F53" s="5">
        <v>3.45</v>
      </c>
    </row>
    <row r="54" spans="1:6" ht="19.2" x14ac:dyDescent="0.3">
      <c r="A54" s="9"/>
      <c r="B54" s="3" t="s">
        <v>26</v>
      </c>
      <c r="C54" s="6">
        <v>246.5</v>
      </c>
      <c r="D54" s="6">
        <v>35</v>
      </c>
      <c r="E54" s="6">
        <v>87.5</v>
      </c>
      <c r="F54" s="6">
        <v>3.76</v>
      </c>
    </row>
    <row r="55" spans="1:6" x14ac:dyDescent="0.3">
      <c r="A55" s="9"/>
      <c r="B55" s="7" t="s">
        <v>361</v>
      </c>
      <c r="C55" s="5">
        <v>242</v>
      </c>
      <c r="D55" s="5">
        <v>16</v>
      </c>
      <c r="E55" s="5">
        <v>39</v>
      </c>
      <c r="F55" s="5">
        <v>3.94</v>
      </c>
    </row>
    <row r="56" spans="1:6" x14ac:dyDescent="0.3">
      <c r="A56" s="9"/>
      <c r="B56" s="3" t="s">
        <v>156</v>
      </c>
      <c r="C56" s="6">
        <v>82</v>
      </c>
      <c r="D56" s="6">
        <v>16</v>
      </c>
      <c r="E56" s="6">
        <v>160</v>
      </c>
      <c r="F56" s="6">
        <v>4.4000000000000004</v>
      </c>
    </row>
    <row r="57" spans="1:6" x14ac:dyDescent="0.3">
      <c r="A57" s="9"/>
      <c r="B57" s="7" t="s">
        <v>353</v>
      </c>
      <c r="C57" s="5">
        <v>264</v>
      </c>
      <c r="D57" s="5">
        <v>20</v>
      </c>
      <c r="E57" s="5">
        <v>25.5</v>
      </c>
      <c r="F57" s="5">
        <v>3.5</v>
      </c>
    </row>
    <row r="58" spans="1:6" x14ac:dyDescent="0.3">
      <c r="A58" s="9"/>
      <c r="B58" s="3" t="s">
        <v>342</v>
      </c>
      <c r="C58" s="6">
        <v>228</v>
      </c>
      <c r="D58" s="6">
        <v>20</v>
      </c>
      <c r="E58" s="6">
        <v>80</v>
      </c>
      <c r="F58" s="6">
        <v>3.39</v>
      </c>
    </row>
    <row r="59" spans="1:6" x14ac:dyDescent="0.3">
      <c r="A59" s="9"/>
      <c r="B59" s="7" t="s">
        <v>513</v>
      </c>
      <c r="C59" s="5">
        <v>401</v>
      </c>
      <c r="D59" s="5">
        <v>15</v>
      </c>
      <c r="E59" s="5">
        <v>46</v>
      </c>
      <c r="F59" s="5">
        <v>1.33</v>
      </c>
    </row>
    <row r="60" spans="1:6" x14ac:dyDescent="0.3">
      <c r="A60" s="9"/>
      <c r="B60" s="3" t="s">
        <v>626</v>
      </c>
      <c r="C60" s="6">
        <v>589</v>
      </c>
      <c r="D60" s="6">
        <v>25</v>
      </c>
      <c r="E60" s="6">
        <v>126.5</v>
      </c>
      <c r="F60" s="6">
        <v>2.64</v>
      </c>
    </row>
    <row r="61" spans="1:6" x14ac:dyDescent="0.3">
      <c r="A61" s="9"/>
      <c r="B61" s="7" t="s">
        <v>465</v>
      </c>
      <c r="C61" s="5">
        <v>350</v>
      </c>
      <c r="D61" s="5">
        <v>15</v>
      </c>
      <c r="E61" s="5">
        <v>34</v>
      </c>
      <c r="F61" s="5">
        <v>2.2200000000000002</v>
      </c>
    </row>
    <row r="62" spans="1:6" x14ac:dyDescent="0.3">
      <c r="A62" s="9"/>
      <c r="B62" s="3" t="s">
        <v>53</v>
      </c>
      <c r="C62" s="6">
        <v>384.5</v>
      </c>
      <c r="D62" s="6">
        <v>38</v>
      </c>
      <c r="E62" s="6">
        <v>85</v>
      </c>
      <c r="F62" s="6">
        <v>3.4550000000000001</v>
      </c>
    </row>
    <row r="63" spans="1:6" x14ac:dyDescent="0.3">
      <c r="A63" s="9"/>
      <c r="B63" s="7" t="s">
        <v>197</v>
      </c>
      <c r="C63" s="5">
        <v>111</v>
      </c>
      <c r="D63" s="5">
        <v>21</v>
      </c>
      <c r="E63" s="5">
        <v>41</v>
      </c>
      <c r="F63" s="5">
        <v>4.75</v>
      </c>
    </row>
  </sheetData>
  <sortState xmlns:xlrd2="http://schemas.microsoft.com/office/spreadsheetml/2017/richdata2" ref="B3:F32">
    <sortCondition ref="B3:B32"/>
  </sortState>
  <mergeCells count="3">
    <mergeCell ref="A3:A32"/>
    <mergeCell ref="A34:A52"/>
    <mergeCell ref="A53:A63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workbookViewId="0">
      <selection activeCell="H9" sqref="H9"/>
    </sheetView>
  </sheetViews>
  <sheetFormatPr defaultRowHeight="14.4" x14ac:dyDescent="0.3"/>
  <cols>
    <col min="5" max="5" width="8.88671875" style="12"/>
  </cols>
  <sheetData>
    <row r="1" spans="1:14" x14ac:dyDescent="0.3">
      <c r="A1" s="11" t="s">
        <v>3</v>
      </c>
      <c r="B1" t="s">
        <v>1</v>
      </c>
      <c r="J1" s="11" t="s">
        <v>3</v>
      </c>
      <c r="K1" t="s">
        <v>1</v>
      </c>
    </row>
    <row r="2" spans="1:14" x14ac:dyDescent="0.3">
      <c r="A2" s="11" t="s">
        <v>39</v>
      </c>
      <c r="B2" t="s">
        <v>238</v>
      </c>
      <c r="C2">
        <v>4.4800000000000004</v>
      </c>
      <c r="J2" s="11" t="s">
        <v>39</v>
      </c>
      <c r="K2" t="s">
        <v>238</v>
      </c>
      <c r="L2">
        <v>4.4800000000000004</v>
      </c>
    </row>
    <row r="3" spans="1:14" x14ac:dyDescent="0.3">
      <c r="A3" s="11"/>
      <c r="B3" t="s">
        <v>390</v>
      </c>
      <c r="C3">
        <v>4.32</v>
      </c>
      <c r="E3" s="12" t="s">
        <v>1347</v>
      </c>
      <c r="G3" s="12"/>
      <c r="H3" s="12"/>
      <c r="I3" s="12"/>
      <c r="J3" s="11"/>
      <c r="K3" t="s">
        <v>390</v>
      </c>
      <c r="L3">
        <v>4.32</v>
      </c>
      <c r="N3" t="s">
        <v>1346</v>
      </c>
    </row>
    <row r="4" spans="1:14" x14ac:dyDescent="0.3">
      <c r="A4" s="11"/>
      <c r="B4" t="s">
        <v>762</v>
      </c>
      <c r="C4">
        <v>3.54</v>
      </c>
      <c r="J4" s="11"/>
      <c r="K4" t="s">
        <v>762</v>
      </c>
      <c r="L4">
        <v>3.54</v>
      </c>
    </row>
    <row r="5" spans="1:14" x14ac:dyDescent="0.3">
      <c r="A5" s="11"/>
      <c r="B5" t="s">
        <v>603</v>
      </c>
      <c r="C5">
        <v>3.45</v>
      </c>
      <c r="J5" s="11"/>
      <c r="K5" t="s">
        <v>603</v>
      </c>
      <c r="L5">
        <v>3.45</v>
      </c>
    </row>
    <row r="6" spans="1:14" x14ac:dyDescent="0.3">
      <c r="A6" s="11"/>
      <c r="B6" t="s">
        <v>534</v>
      </c>
      <c r="C6">
        <v>4.4800000000000004</v>
      </c>
      <c r="J6" s="11"/>
      <c r="K6" t="s">
        <v>534</v>
      </c>
      <c r="L6">
        <v>4.4800000000000004</v>
      </c>
    </row>
    <row r="7" spans="1:14" x14ac:dyDescent="0.3">
      <c r="A7" s="11"/>
      <c r="B7" t="s">
        <v>253</v>
      </c>
      <c r="C7">
        <v>2.89</v>
      </c>
      <c r="J7" s="11"/>
      <c r="K7" t="s">
        <v>253</v>
      </c>
      <c r="L7">
        <v>2.89</v>
      </c>
    </row>
    <row r="8" spans="1:14" x14ac:dyDescent="0.3">
      <c r="A8" s="11"/>
      <c r="B8" t="s">
        <v>543</v>
      </c>
      <c r="C8">
        <v>1.7549999999999999</v>
      </c>
      <c r="J8" s="11"/>
      <c r="K8" t="s">
        <v>543</v>
      </c>
      <c r="L8">
        <v>1.7549999999999999</v>
      </c>
    </row>
    <row r="9" spans="1:14" x14ac:dyDescent="0.3">
      <c r="A9" s="11"/>
      <c r="B9" t="s">
        <v>698</v>
      </c>
      <c r="C9">
        <v>4.9000000000000004</v>
      </c>
      <c r="J9" s="11"/>
      <c r="K9" t="s">
        <v>698</v>
      </c>
      <c r="L9">
        <v>4.9000000000000004</v>
      </c>
    </row>
    <row r="10" spans="1:14" x14ac:dyDescent="0.3">
      <c r="A10" s="11"/>
      <c r="B10" t="s">
        <v>89</v>
      </c>
      <c r="C10">
        <v>1.33</v>
      </c>
      <c r="J10" s="11"/>
      <c r="K10" t="s">
        <v>89</v>
      </c>
      <c r="L10">
        <v>1.33</v>
      </c>
    </row>
    <row r="11" spans="1:14" x14ac:dyDescent="0.3">
      <c r="A11" s="11"/>
      <c r="B11" t="s">
        <v>284</v>
      </c>
      <c r="C11">
        <v>4.5149999999999997</v>
      </c>
      <c r="J11" s="11"/>
      <c r="K11" t="s">
        <v>284</v>
      </c>
      <c r="L11">
        <v>4.5149999999999997</v>
      </c>
    </row>
    <row r="12" spans="1:14" x14ac:dyDescent="0.3">
      <c r="A12" s="11"/>
      <c r="B12" t="s">
        <v>170</v>
      </c>
      <c r="C12">
        <v>3.94</v>
      </c>
      <c r="J12" s="11"/>
      <c r="K12" t="s">
        <v>170</v>
      </c>
      <c r="L12">
        <v>3.94</v>
      </c>
    </row>
    <row r="13" spans="1:14" x14ac:dyDescent="0.3">
      <c r="A13" s="11"/>
      <c r="B13" t="s">
        <v>688</v>
      </c>
      <c r="C13">
        <v>2.0499999999999998</v>
      </c>
      <c r="J13" s="11"/>
      <c r="K13" t="s">
        <v>688</v>
      </c>
      <c r="L13">
        <v>2.0499999999999998</v>
      </c>
    </row>
    <row r="14" spans="1:14" x14ac:dyDescent="0.3">
      <c r="A14" s="11"/>
      <c r="B14" t="s">
        <v>464</v>
      </c>
      <c r="C14">
        <v>4.2750000000000004</v>
      </c>
      <c r="J14" s="11"/>
      <c r="K14" t="s">
        <v>464</v>
      </c>
      <c r="L14">
        <v>4.2750000000000004</v>
      </c>
    </row>
    <row r="15" spans="1:14" x14ac:dyDescent="0.3">
      <c r="A15" s="11"/>
      <c r="B15" t="s">
        <v>497</v>
      </c>
      <c r="C15">
        <v>1.5249999999999999</v>
      </c>
      <c r="J15" s="11"/>
      <c r="K15" t="s">
        <v>497</v>
      </c>
      <c r="L15">
        <v>1.5249999999999999</v>
      </c>
    </row>
    <row r="16" spans="1:14" x14ac:dyDescent="0.3">
      <c r="A16" s="11"/>
      <c r="B16" t="s">
        <v>337</v>
      </c>
      <c r="C16">
        <v>4.6100000000000003</v>
      </c>
      <c r="J16" s="11"/>
      <c r="K16" t="s">
        <v>337</v>
      </c>
      <c r="L16">
        <v>4.6100000000000003</v>
      </c>
    </row>
    <row r="17" spans="1:12" x14ac:dyDescent="0.3">
      <c r="A17" s="11"/>
      <c r="B17" t="s">
        <v>133</v>
      </c>
      <c r="C17">
        <v>3.7</v>
      </c>
      <c r="J17" s="11"/>
      <c r="K17" t="s">
        <v>133</v>
      </c>
      <c r="L17">
        <v>3.7</v>
      </c>
    </row>
    <row r="18" spans="1:12" x14ac:dyDescent="0.3">
      <c r="A18" s="11"/>
      <c r="B18" t="s">
        <v>649</v>
      </c>
      <c r="C18">
        <v>1.01</v>
      </c>
      <c r="J18" s="11"/>
      <c r="K18" t="s">
        <v>649</v>
      </c>
      <c r="L18">
        <v>1.01</v>
      </c>
    </row>
    <row r="19" spans="1:12" x14ac:dyDescent="0.3">
      <c r="A19" s="11"/>
      <c r="B19" t="s">
        <v>548</v>
      </c>
      <c r="C19">
        <v>4.32</v>
      </c>
      <c r="J19" s="11"/>
      <c r="K19" t="s">
        <v>548</v>
      </c>
      <c r="L19">
        <v>4.32</v>
      </c>
    </row>
    <row r="20" spans="1:12" x14ac:dyDescent="0.3">
      <c r="A20" s="11"/>
      <c r="B20" t="s">
        <v>547</v>
      </c>
      <c r="C20">
        <v>4.32</v>
      </c>
      <c r="J20" s="11"/>
      <c r="K20" t="s">
        <v>547</v>
      </c>
      <c r="L20">
        <v>4.32</v>
      </c>
    </row>
    <row r="21" spans="1:12" x14ac:dyDescent="0.3">
      <c r="A21" s="11"/>
      <c r="B21" t="s">
        <v>580</v>
      </c>
      <c r="C21">
        <v>3.49</v>
      </c>
      <c r="J21" s="11"/>
      <c r="K21" t="s">
        <v>580</v>
      </c>
      <c r="L21">
        <v>3.49</v>
      </c>
    </row>
    <row r="22" spans="1:12" x14ac:dyDescent="0.3">
      <c r="A22" s="11"/>
      <c r="B22" t="s">
        <v>551</v>
      </c>
      <c r="C22">
        <v>2.85</v>
      </c>
      <c r="J22" s="11"/>
      <c r="K22" t="s">
        <v>551</v>
      </c>
      <c r="L22">
        <v>2.85</v>
      </c>
    </row>
    <row r="23" spans="1:12" x14ac:dyDescent="0.3">
      <c r="A23" s="11"/>
      <c r="B23" t="s">
        <v>738</v>
      </c>
      <c r="C23">
        <v>1.02</v>
      </c>
      <c r="J23" s="11"/>
      <c r="K23" t="s">
        <v>738</v>
      </c>
      <c r="L23">
        <v>1.02</v>
      </c>
    </row>
    <row r="24" spans="1:12" x14ac:dyDescent="0.3">
      <c r="A24" s="11"/>
      <c r="B24" t="s">
        <v>528</v>
      </c>
      <c r="C24">
        <v>3.67</v>
      </c>
      <c r="J24" s="11"/>
      <c r="K24" t="s">
        <v>528</v>
      </c>
      <c r="L24">
        <v>3.67</v>
      </c>
    </row>
    <row r="25" spans="1:12" x14ac:dyDescent="0.3">
      <c r="A25" s="11"/>
      <c r="B25" t="s">
        <v>206</v>
      </c>
      <c r="C25">
        <v>1.79</v>
      </c>
      <c r="J25" s="11"/>
      <c r="K25" t="s">
        <v>206</v>
      </c>
      <c r="L25">
        <v>1.79</v>
      </c>
    </row>
    <row r="26" spans="1:12" x14ac:dyDescent="0.3">
      <c r="A26" s="11"/>
      <c r="B26" t="s">
        <v>209</v>
      </c>
      <c r="C26">
        <v>4.43</v>
      </c>
      <c r="J26" s="11"/>
      <c r="K26" t="s">
        <v>209</v>
      </c>
      <c r="L26">
        <v>4.43</v>
      </c>
    </row>
    <row r="27" spans="1:12" x14ac:dyDescent="0.3">
      <c r="A27" s="11"/>
      <c r="B27" t="s">
        <v>540</v>
      </c>
      <c r="C27">
        <v>3.54</v>
      </c>
      <c r="J27" s="11"/>
      <c r="K27" t="s">
        <v>540</v>
      </c>
      <c r="L27">
        <v>3.54</v>
      </c>
    </row>
    <row r="28" spans="1:12" x14ac:dyDescent="0.3">
      <c r="A28" s="11"/>
      <c r="B28" t="s">
        <v>321</v>
      </c>
      <c r="C28">
        <v>4.4000000000000004</v>
      </c>
      <c r="J28" s="11"/>
      <c r="K28" t="s">
        <v>321</v>
      </c>
      <c r="L28">
        <v>4.4000000000000004</v>
      </c>
    </row>
    <row r="29" spans="1:12" x14ac:dyDescent="0.3">
      <c r="A29" s="11"/>
      <c r="B29" t="s">
        <v>139</v>
      </c>
      <c r="C29">
        <v>2.9550000000000001</v>
      </c>
      <c r="J29" s="11"/>
      <c r="K29" t="s">
        <v>139</v>
      </c>
      <c r="L29">
        <v>2.9550000000000001</v>
      </c>
    </row>
    <row r="30" spans="1:12" x14ac:dyDescent="0.3">
      <c r="A30" s="11"/>
      <c r="B30" t="s">
        <v>270</v>
      </c>
      <c r="C30">
        <v>2.23</v>
      </c>
      <c r="J30" s="11"/>
      <c r="K30" t="s">
        <v>270</v>
      </c>
      <c r="L30">
        <v>2.23</v>
      </c>
    </row>
    <row r="31" spans="1:12" x14ac:dyDescent="0.3">
      <c r="A31" s="11"/>
      <c r="B31" t="s">
        <v>154</v>
      </c>
      <c r="C31">
        <v>3.47</v>
      </c>
      <c r="J31" s="11"/>
      <c r="K31" t="s">
        <v>154</v>
      </c>
      <c r="L31">
        <v>3.47</v>
      </c>
    </row>
    <row r="32" spans="1:12" x14ac:dyDescent="0.3">
      <c r="A32" s="11"/>
      <c r="C32" t="s">
        <v>1345</v>
      </c>
      <c r="J32" s="11"/>
      <c r="L32" t="s">
        <v>1345</v>
      </c>
    </row>
    <row r="33" spans="1:12" x14ac:dyDescent="0.3">
      <c r="A33" s="11" t="s">
        <v>8</v>
      </c>
      <c r="B33" t="s">
        <v>124</v>
      </c>
      <c r="C33">
        <v>2.38</v>
      </c>
      <c r="J33" s="11" t="s">
        <v>8</v>
      </c>
      <c r="K33" t="s">
        <v>124</v>
      </c>
      <c r="L33">
        <v>2.38</v>
      </c>
    </row>
    <row r="34" spans="1:12" x14ac:dyDescent="0.3">
      <c r="A34" s="11"/>
      <c r="B34" t="s">
        <v>126</v>
      </c>
      <c r="C34">
        <v>2.6749999999999998</v>
      </c>
      <c r="J34" s="11"/>
      <c r="K34" t="s">
        <v>126</v>
      </c>
      <c r="L34">
        <v>2.6749999999999998</v>
      </c>
    </row>
    <row r="35" spans="1:12" x14ac:dyDescent="0.3">
      <c r="A35" s="11"/>
      <c r="B35" t="s">
        <v>18</v>
      </c>
      <c r="C35">
        <v>3.3450000000000002</v>
      </c>
      <c r="J35" s="11"/>
      <c r="K35" t="s">
        <v>18</v>
      </c>
      <c r="L35">
        <v>3.3450000000000002</v>
      </c>
    </row>
    <row r="36" spans="1:12" x14ac:dyDescent="0.3">
      <c r="A36" s="11"/>
      <c r="B36" t="s">
        <v>708</v>
      </c>
      <c r="C36">
        <v>1.06</v>
      </c>
      <c r="J36" s="11"/>
      <c r="K36" t="s">
        <v>708</v>
      </c>
      <c r="L36">
        <v>1.06</v>
      </c>
    </row>
    <row r="37" spans="1:12" x14ac:dyDescent="0.3">
      <c r="A37" s="11"/>
      <c r="B37" t="s">
        <v>122</v>
      </c>
      <c r="C37">
        <v>3.03</v>
      </c>
      <c r="J37" s="11"/>
      <c r="K37" t="s">
        <v>122</v>
      </c>
      <c r="L37">
        <v>3.03</v>
      </c>
    </row>
    <row r="38" spans="1:12" x14ac:dyDescent="0.3">
      <c r="A38" s="11"/>
      <c r="B38" t="s">
        <v>496</v>
      </c>
      <c r="C38">
        <v>3.65</v>
      </c>
      <c r="J38" s="11"/>
      <c r="K38" t="s">
        <v>496</v>
      </c>
      <c r="L38">
        <v>3.65</v>
      </c>
    </row>
    <row r="39" spans="1:12" x14ac:dyDescent="0.3">
      <c r="A39" s="11"/>
      <c r="B39" t="s">
        <v>605</v>
      </c>
      <c r="C39">
        <v>4.4000000000000004</v>
      </c>
      <c r="J39" s="11"/>
      <c r="K39" t="s">
        <v>605</v>
      </c>
      <c r="L39">
        <v>4.4000000000000004</v>
      </c>
    </row>
    <row r="40" spans="1:12" x14ac:dyDescent="0.3">
      <c r="A40" s="11"/>
      <c r="B40" t="s">
        <v>479</v>
      </c>
      <c r="C40">
        <v>3.75</v>
      </c>
      <c r="J40" s="11"/>
      <c r="K40" t="s">
        <v>479</v>
      </c>
      <c r="L40">
        <v>3.75</v>
      </c>
    </row>
    <row r="41" spans="1:12" x14ac:dyDescent="0.3">
      <c r="A41" s="11"/>
      <c r="B41" t="s">
        <v>395</v>
      </c>
      <c r="C41">
        <v>3.45</v>
      </c>
      <c r="J41" s="11"/>
      <c r="K41" t="s">
        <v>395</v>
      </c>
      <c r="L41">
        <v>3.45</v>
      </c>
    </row>
    <row r="42" spans="1:12" x14ac:dyDescent="0.3">
      <c r="A42" s="11"/>
      <c r="B42" t="s">
        <v>345</v>
      </c>
      <c r="C42">
        <v>4.9400000000000004</v>
      </c>
      <c r="J42" s="11"/>
      <c r="K42" t="s">
        <v>345</v>
      </c>
      <c r="L42">
        <v>4.9400000000000004</v>
      </c>
    </row>
    <row r="43" spans="1:12" x14ac:dyDescent="0.3">
      <c r="A43" s="11"/>
      <c r="B43" t="s">
        <v>713</v>
      </c>
      <c r="C43">
        <v>4.43</v>
      </c>
      <c r="J43" s="11"/>
      <c r="K43" t="s">
        <v>713</v>
      </c>
      <c r="L43">
        <v>4.43</v>
      </c>
    </row>
    <row r="44" spans="1:12" x14ac:dyDescent="0.3">
      <c r="A44" s="11"/>
      <c r="B44" t="s">
        <v>98</v>
      </c>
      <c r="C44">
        <v>3.44</v>
      </c>
      <c r="J44" s="11"/>
      <c r="K44" t="s">
        <v>98</v>
      </c>
      <c r="L44">
        <v>3.44</v>
      </c>
    </row>
    <row r="45" spans="1:12" x14ac:dyDescent="0.3">
      <c r="A45" s="11"/>
      <c r="B45" t="s">
        <v>457</v>
      </c>
      <c r="C45">
        <v>4.75</v>
      </c>
      <c r="J45" s="11"/>
      <c r="K45" t="s">
        <v>457</v>
      </c>
      <c r="L45">
        <v>4.75</v>
      </c>
    </row>
    <row r="46" spans="1:12" x14ac:dyDescent="0.3">
      <c r="A46" s="11"/>
      <c r="B46" t="s">
        <v>375</v>
      </c>
      <c r="C46">
        <v>4.4800000000000004</v>
      </c>
      <c r="J46" s="11"/>
      <c r="K46" t="s">
        <v>375</v>
      </c>
      <c r="L46">
        <v>4.4800000000000004</v>
      </c>
    </row>
    <row r="47" spans="1:12" x14ac:dyDescent="0.3">
      <c r="A47" s="11"/>
      <c r="B47" t="s">
        <v>602</v>
      </c>
      <c r="C47">
        <v>1.1000000000000001</v>
      </c>
      <c r="J47" s="11"/>
      <c r="K47" t="s">
        <v>602</v>
      </c>
      <c r="L47">
        <v>1.1000000000000001</v>
      </c>
    </row>
    <row r="48" spans="1:12" x14ac:dyDescent="0.3">
      <c r="A48" s="11"/>
      <c r="B48" t="s">
        <v>763</v>
      </c>
      <c r="C48">
        <v>3.46</v>
      </c>
      <c r="J48" s="11"/>
      <c r="K48" t="s">
        <v>763</v>
      </c>
      <c r="L48">
        <v>3.46</v>
      </c>
    </row>
    <row r="49" spans="1:12" x14ac:dyDescent="0.3">
      <c r="A49" s="11"/>
      <c r="B49" t="s">
        <v>172</v>
      </c>
      <c r="C49">
        <v>3.01</v>
      </c>
      <c r="J49" s="11"/>
      <c r="K49" t="s">
        <v>172</v>
      </c>
      <c r="L49">
        <v>3.01</v>
      </c>
    </row>
    <row r="50" spans="1:12" x14ac:dyDescent="0.3">
      <c r="A50" s="11"/>
      <c r="B50" t="s">
        <v>113</v>
      </c>
      <c r="C50">
        <v>3.9449999999999998</v>
      </c>
      <c r="J50" s="11"/>
      <c r="K50" t="s">
        <v>113</v>
      </c>
      <c r="L50">
        <v>3.9449999999999998</v>
      </c>
    </row>
    <row r="51" spans="1:12" x14ac:dyDescent="0.3">
      <c r="A51" s="11"/>
      <c r="B51" t="s">
        <v>43</v>
      </c>
      <c r="C51">
        <v>2.6766670000000001</v>
      </c>
      <c r="J51" s="11"/>
      <c r="K51" t="s">
        <v>43</v>
      </c>
      <c r="L51">
        <v>2.6766670000000001</v>
      </c>
    </row>
    <row r="52" spans="1:12" x14ac:dyDescent="0.3">
      <c r="A52" s="11" t="s">
        <v>27</v>
      </c>
      <c r="B52" t="s">
        <v>676</v>
      </c>
      <c r="C52">
        <v>3.45</v>
      </c>
      <c r="J52" s="11" t="s">
        <v>27</v>
      </c>
      <c r="K52" t="s">
        <v>676</v>
      </c>
      <c r="L52">
        <v>3.45</v>
      </c>
    </row>
    <row r="53" spans="1:12" x14ac:dyDescent="0.3">
      <c r="A53" s="11"/>
      <c r="B53" t="s">
        <v>26</v>
      </c>
      <c r="C53">
        <v>3.76</v>
      </c>
      <c r="J53" s="11"/>
      <c r="K53" t="s">
        <v>26</v>
      </c>
      <c r="L53">
        <v>3.76</v>
      </c>
    </row>
    <row r="54" spans="1:12" x14ac:dyDescent="0.3">
      <c r="A54" s="11"/>
      <c r="B54" t="s">
        <v>361</v>
      </c>
      <c r="C54">
        <v>3.94</v>
      </c>
      <c r="J54" s="11"/>
      <c r="K54" t="s">
        <v>361</v>
      </c>
      <c r="L54">
        <v>3.94</v>
      </c>
    </row>
    <row r="55" spans="1:12" x14ac:dyDescent="0.3">
      <c r="A55" s="11"/>
      <c r="B55" t="s">
        <v>156</v>
      </c>
      <c r="C55">
        <v>4.4000000000000004</v>
      </c>
      <c r="J55" s="11"/>
      <c r="K55" t="s">
        <v>156</v>
      </c>
      <c r="L55">
        <v>4.4000000000000004</v>
      </c>
    </row>
    <row r="56" spans="1:12" x14ac:dyDescent="0.3">
      <c r="A56" s="11"/>
      <c r="B56" t="s">
        <v>353</v>
      </c>
      <c r="C56">
        <v>3.5</v>
      </c>
      <c r="J56" s="11"/>
      <c r="K56" t="s">
        <v>353</v>
      </c>
      <c r="L56">
        <v>3.5</v>
      </c>
    </row>
    <row r="57" spans="1:12" x14ac:dyDescent="0.3">
      <c r="A57" s="11"/>
      <c r="B57" t="s">
        <v>342</v>
      </c>
      <c r="C57">
        <v>3.39</v>
      </c>
      <c r="J57" s="11"/>
      <c r="K57" t="s">
        <v>342</v>
      </c>
      <c r="L57">
        <v>3.39</v>
      </c>
    </row>
    <row r="58" spans="1:12" x14ac:dyDescent="0.3">
      <c r="A58" s="11"/>
      <c r="B58" t="s">
        <v>513</v>
      </c>
      <c r="C58">
        <v>1.33</v>
      </c>
      <c r="J58" s="11"/>
      <c r="K58" t="s">
        <v>513</v>
      </c>
      <c r="L58">
        <v>1.33</v>
      </c>
    </row>
    <row r="59" spans="1:12" x14ac:dyDescent="0.3">
      <c r="A59" s="11"/>
      <c r="B59" t="s">
        <v>626</v>
      </c>
      <c r="C59">
        <v>2.64</v>
      </c>
      <c r="J59" s="11"/>
      <c r="K59" t="s">
        <v>626</v>
      </c>
      <c r="L59">
        <v>2.64</v>
      </c>
    </row>
    <row r="60" spans="1:12" x14ac:dyDescent="0.3">
      <c r="A60" s="11"/>
      <c r="B60" t="s">
        <v>465</v>
      </c>
      <c r="C60">
        <v>2.2200000000000002</v>
      </c>
      <c r="J60" s="11"/>
      <c r="K60" t="s">
        <v>465</v>
      </c>
      <c r="L60">
        <v>2.2200000000000002</v>
      </c>
    </row>
    <row r="61" spans="1:12" x14ac:dyDescent="0.3">
      <c r="A61" s="11"/>
      <c r="B61" t="s">
        <v>53</v>
      </c>
      <c r="C61">
        <v>3.4550000000000001</v>
      </c>
      <c r="J61" s="11"/>
      <c r="K61" t="s">
        <v>53</v>
      </c>
      <c r="L61">
        <v>3.4550000000000001</v>
      </c>
    </row>
    <row r="62" spans="1:12" x14ac:dyDescent="0.3">
      <c r="A62" s="11"/>
      <c r="B62" t="s">
        <v>197</v>
      </c>
      <c r="C62">
        <v>4.75</v>
      </c>
      <c r="J62" s="11"/>
      <c r="K62" t="s">
        <v>197</v>
      </c>
      <c r="L62">
        <v>4.75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66"/>
  <sheetViews>
    <sheetView tabSelected="1" topLeftCell="A896" workbookViewId="0">
      <selection activeCell="I964" sqref="I964"/>
    </sheetView>
  </sheetViews>
  <sheetFormatPr defaultRowHeight="14.4" outlineLevelRow="2" x14ac:dyDescent="0.3"/>
  <cols>
    <col min="5" max="5" width="11.6640625" bestFit="1" customWidth="1"/>
    <col min="6" max="6" width="39.109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hidden="1" outlineLevel="2" x14ac:dyDescent="0.3">
      <c r="A2">
        <v>204</v>
      </c>
      <c r="B2" t="s">
        <v>319</v>
      </c>
      <c r="C2">
        <v>16</v>
      </c>
      <c r="D2" t="s">
        <v>8</v>
      </c>
      <c r="E2">
        <v>0</v>
      </c>
      <c r="F2" t="s">
        <v>228</v>
      </c>
      <c r="G2">
        <v>1.28</v>
      </c>
    </row>
    <row r="3" spans="1:7" hidden="1" outlineLevel="2" x14ac:dyDescent="0.3">
      <c r="A3">
        <v>150</v>
      </c>
      <c r="B3" t="s">
        <v>248</v>
      </c>
      <c r="C3">
        <v>17</v>
      </c>
      <c r="D3" t="s">
        <v>8</v>
      </c>
      <c r="E3">
        <v>0</v>
      </c>
      <c r="F3" t="s">
        <v>228</v>
      </c>
      <c r="G3">
        <v>1.28</v>
      </c>
    </row>
    <row r="4" spans="1:7" hidden="1" outlineLevel="2" x14ac:dyDescent="0.3">
      <c r="A4">
        <v>662</v>
      </c>
      <c r="B4" t="s">
        <v>693</v>
      </c>
      <c r="C4">
        <v>21</v>
      </c>
      <c r="D4" t="s">
        <v>8</v>
      </c>
      <c r="E4">
        <v>0</v>
      </c>
      <c r="F4" t="s">
        <v>228</v>
      </c>
      <c r="G4">
        <v>1.28</v>
      </c>
    </row>
    <row r="5" spans="1:7" hidden="1" outlineLevel="2" x14ac:dyDescent="0.3">
      <c r="A5">
        <v>133</v>
      </c>
      <c r="B5" t="s">
        <v>129</v>
      </c>
      <c r="C5">
        <v>20</v>
      </c>
      <c r="D5" t="s">
        <v>8</v>
      </c>
      <c r="E5">
        <v>0</v>
      </c>
      <c r="F5" t="s">
        <v>228</v>
      </c>
      <c r="G5">
        <v>1.28</v>
      </c>
    </row>
    <row r="6" spans="1:7" outlineLevel="1" collapsed="1" x14ac:dyDescent="0.3">
      <c r="E6" s="1" t="s">
        <v>1349</v>
      </c>
      <c r="F6" t="str">
        <f>F5</f>
        <v>Splinter</v>
      </c>
      <c r="G6">
        <f>SUBTOTAL(3,G2:G5)</f>
        <v>4</v>
      </c>
    </row>
    <row r="7" spans="1:7" hidden="1" outlineLevel="2" x14ac:dyDescent="0.3">
      <c r="A7">
        <v>697</v>
      </c>
      <c r="B7" t="s">
        <v>714</v>
      </c>
      <c r="C7">
        <v>19</v>
      </c>
      <c r="D7" t="s">
        <v>39</v>
      </c>
      <c r="E7">
        <v>1</v>
      </c>
      <c r="F7" t="s">
        <v>212</v>
      </c>
      <c r="G7">
        <v>3.26</v>
      </c>
    </row>
    <row r="8" spans="1:7" hidden="1" outlineLevel="2" x14ac:dyDescent="0.3">
      <c r="A8">
        <v>121</v>
      </c>
      <c r="B8" t="s">
        <v>211</v>
      </c>
      <c r="C8">
        <v>23</v>
      </c>
      <c r="D8" t="s">
        <v>8</v>
      </c>
      <c r="E8">
        <v>1</v>
      </c>
      <c r="F8" t="s">
        <v>212</v>
      </c>
      <c r="G8">
        <v>3.26</v>
      </c>
    </row>
    <row r="9" spans="1:7" hidden="1" outlineLevel="2" x14ac:dyDescent="0.3">
      <c r="A9">
        <v>454</v>
      </c>
      <c r="B9" t="s">
        <v>554</v>
      </c>
      <c r="C9">
        <v>25</v>
      </c>
      <c r="D9" t="s">
        <v>8</v>
      </c>
      <c r="E9">
        <v>1</v>
      </c>
      <c r="F9" t="s">
        <v>212</v>
      </c>
      <c r="G9">
        <v>3.26</v>
      </c>
    </row>
    <row r="10" spans="1:7" outlineLevel="1" collapsed="1" x14ac:dyDescent="0.3">
      <c r="E10" s="1" t="s">
        <v>1350</v>
      </c>
      <c r="F10" t="str">
        <f>F9</f>
        <v>Crucifer</v>
      </c>
      <c r="G10">
        <f>SUBTOTAL(3,G7:G9)</f>
        <v>3</v>
      </c>
    </row>
    <row r="11" spans="1:7" hidden="1" outlineLevel="2" x14ac:dyDescent="0.3">
      <c r="A11">
        <v>134</v>
      </c>
      <c r="B11" t="s">
        <v>200</v>
      </c>
      <c r="C11">
        <v>15</v>
      </c>
      <c r="D11" t="s">
        <v>39</v>
      </c>
      <c r="E11">
        <v>2</v>
      </c>
      <c r="F11" t="s">
        <v>229</v>
      </c>
      <c r="G11">
        <v>2.48</v>
      </c>
    </row>
    <row r="12" spans="1:7" hidden="1" outlineLevel="2" x14ac:dyDescent="0.3">
      <c r="A12">
        <v>201</v>
      </c>
      <c r="B12" t="s">
        <v>316</v>
      </c>
      <c r="C12">
        <v>31</v>
      </c>
      <c r="D12" t="s">
        <v>8</v>
      </c>
      <c r="E12">
        <v>2</v>
      </c>
      <c r="F12" t="s">
        <v>229</v>
      </c>
      <c r="G12">
        <v>2.48</v>
      </c>
    </row>
    <row r="13" spans="1:7" hidden="1" outlineLevel="2" x14ac:dyDescent="0.3">
      <c r="A13">
        <v>345</v>
      </c>
      <c r="B13" t="s">
        <v>462</v>
      </c>
      <c r="C13">
        <v>19</v>
      </c>
      <c r="D13" t="s">
        <v>8</v>
      </c>
      <c r="E13">
        <v>2</v>
      </c>
      <c r="F13" t="s">
        <v>229</v>
      </c>
      <c r="G13">
        <v>2.48</v>
      </c>
    </row>
    <row r="14" spans="1:7" hidden="1" outlineLevel="2" x14ac:dyDescent="0.3">
      <c r="A14">
        <v>213</v>
      </c>
      <c r="B14" t="s">
        <v>328</v>
      </c>
      <c r="C14">
        <v>29</v>
      </c>
      <c r="D14" t="s">
        <v>8</v>
      </c>
      <c r="E14">
        <v>2</v>
      </c>
      <c r="F14" t="s">
        <v>229</v>
      </c>
      <c r="G14">
        <v>2.48</v>
      </c>
    </row>
    <row r="15" spans="1:7" hidden="1" outlineLevel="2" x14ac:dyDescent="0.3">
      <c r="A15">
        <v>553</v>
      </c>
      <c r="B15" t="s">
        <v>628</v>
      </c>
      <c r="C15">
        <v>28</v>
      </c>
      <c r="D15" t="s">
        <v>8</v>
      </c>
      <c r="E15">
        <v>2</v>
      </c>
      <c r="F15" t="s">
        <v>229</v>
      </c>
      <c r="G15">
        <v>2.48</v>
      </c>
    </row>
    <row r="16" spans="1:7" hidden="1" outlineLevel="2" x14ac:dyDescent="0.3">
      <c r="A16">
        <v>560</v>
      </c>
      <c r="B16" t="s">
        <v>43</v>
      </c>
      <c r="C16">
        <v>21</v>
      </c>
      <c r="D16" t="s">
        <v>8</v>
      </c>
      <c r="E16">
        <v>2</v>
      </c>
      <c r="F16" t="s">
        <v>229</v>
      </c>
      <c r="G16">
        <v>2.48</v>
      </c>
    </row>
    <row r="17" spans="1:7" outlineLevel="1" collapsed="1" x14ac:dyDescent="0.3">
      <c r="E17" s="1" t="s">
        <v>1351</v>
      </c>
      <c r="F17" t="str">
        <f>F16</f>
        <v>Verdict</v>
      </c>
      <c r="G17">
        <f>SUBTOTAL(3,G11:G16)</f>
        <v>6</v>
      </c>
    </row>
    <row r="18" spans="1:7" hidden="1" outlineLevel="2" x14ac:dyDescent="0.3">
      <c r="A18">
        <v>317</v>
      </c>
      <c r="B18" t="s">
        <v>434</v>
      </c>
      <c r="C18">
        <v>18</v>
      </c>
      <c r="D18" t="s">
        <v>39</v>
      </c>
      <c r="E18">
        <v>3</v>
      </c>
      <c r="F18" t="s">
        <v>259</v>
      </c>
      <c r="G18">
        <v>2.4900000000000002</v>
      </c>
    </row>
    <row r="19" spans="1:7" hidden="1" outlineLevel="2" x14ac:dyDescent="0.3">
      <c r="A19">
        <v>203</v>
      </c>
      <c r="B19" t="s">
        <v>318</v>
      </c>
      <c r="C19">
        <v>33</v>
      </c>
      <c r="D19" t="s">
        <v>8</v>
      </c>
      <c r="E19">
        <v>3</v>
      </c>
      <c r="F19" t="s">
        <v>259</v>
      </c>
      <c r="G19">
        <v>2.4900000000000002</v>
      </c>
    </row>
    <row r="20" spans="1:7" hidden="1" outlineLevel="2" x14ac:dyDescent="0.3">
      <c r="A20">
        <v>494</v>
      </c>
      <c r="B20" t="s">
        <v>588</v>
      </c>
      <c r="C20">
        <v>30</v>
      </c>
      <c r="D20" t="s">
        <v>8</v>
      </c>
      <c r="E20">
        <v>3</v>
      </c>
      <c r="F20" t="s">
        <v>259</v>
      </c>
      <c r="G20">
        <v>2.4900000000000002</v>
      </c>
    </row>
    <row r="21" spans="1:7" hidden="1" outlineLevel="2" x14ac:dyDescent="0.3">
      <c r="A21">
        <v>544</v>
      </c>
      <c r="B21" t="s">
        <v>511</v>
      </c>
      <c r="C21">
        <v>34</v>
      </c>
      <c r="D21" t="s">
        <v>8</v>
      </c>
      <c r="E21">
        <v>3</v>
      </c>
      <c r="F21" t="s">
        <v>259</v>
      </c>
      <c r="G21">
        <v>2.4900000000000002</v>
      </c>
    </row>
    <row r="22" spans="1:7" hidden="1" outlineLevel="2" x14ac:dyDescent="0.3">
      <c r="A22">
        <v>368</v>
      </c>
      <c r="B22" t="s">
        <v>483</v>
      </c>
      <c r="C22">
        <v>20</v>
      </c>
      <c r="D22" t="s">
        <v>8</v>
      </c>
      <c r="E22">
        <v>3</v>
      </c>
      <c r="F22" t="s">
        <v>259</v>
      </c>
      <c r="G22">
        <v>2.4900000000000002</v>
      </c>
    </row>
    <row r="23" spans="1:7" hidden="1" outlineLevel="2" x14ac:dyDescent="0.3">
      <c r="A23">
        <v>161</v>
      </c>
      <c r="B23" t="s">
        <v>233</v>
      </c>
      <c r="C23">
        <v>20</v>
      </c>
      <c r="D23" t="s">
        <v>8</v>
      </c>
      <c r="E23">
        <v>3</v>
      </c>
      <c r="F23" t="s">
        <v>259</v>
      </c>
      <c r="G23">
        <v>2.4900000000000002</v>
      </c>
    </row>
    <row r="24" spans="1:7" outlineLevel="1" collapsed="1" x14ac:dyDescent="0.3">
      <c r="E24" s="1" t="s">
        <v>1352</v>
      </c>
      <c r="F24" t="str">
        <f>F23</f>
        <v>Phantomlight</v>
      </c>
      <c r="G24">
        <f>SUBTOTAL(3,G18:G23)</f>
        <v>6</v>
      </c>
    </row>
    <row r="25" spans="1:7" hidden="1" outlineLevel="2" x14ac:dyDescent="0.3">
      <c r="A25">
        <v>635</v>
      </c>
      <c r="B25" t="s">
        <v>475</v>
      </c>
      <c r="C25">
        <v>29</v>
      </c>
      <c r="D25" t="s">
        <v>8</v>
      </c>
      <c r="E25">
        <v>4</v>
      </c>
      <c r="F25" t="s">
        <v>35</v>
      </c>
      <c r="G25">
        <v>1.7</v>
      </c>
    </row>
    <row r="26" spans="1:7" hidden="1" outlineLevel="2" x14ac:dyDescent="0.3">
      <c r="A26">
        <v>470</v>
      </c>
      <c r="B26" t="s">
        <v>570</v>
      </c>
      <c r="C26">
        <v>29</v>
      </c>
      <c r="D26" t="s">
        <v>8</v>
      </c>
      <c r="E26">
        <v>4</v>
      </c>
      <c r="F26" t="s">
        <v>35</v>
      </c>
      <c r="G26">
        <v>1.7</v>
      </c>
    </row>
    <row r="27" spans="1:7" hidden="1" outlineLevel="2" x14ac:dyDescent="0.3">
      <c r="A27">
        <v>13</v>
      </c>
      <c r="B27" t="s">
        <v>34</v>
      </c>
      <c r="C27">
        <v>22</v>
      </c>
      <c r="D27" t="s">
        <v>8</v>
      </c>
      <c r="E27">
        <v>4</v>
      </c>
      <c r="F27" t="s">
        <v>35</v>
      </c>
      <c r="G27">
        <v>1.7</v>
      </c>
    </row>
    <row r="28" spans="1:7" hidden="1" outlineLevel="2" x14ac:dyDescent="0.3">
      <c r="A28">
        <v>302</v>
      </c>
      <c r="B28" t="s">
        <v>421</v>
      </c>
      <c r="C28">
        <v>20</v>
      </c>
      <c r="D28" t="s">
        <v>8</v>
      </c>
      <c r="E28">
        <v>4</v>
      </c>
      <c r="F28" t="s">
        <v>35</v>
      </c>
      <c r="G28">
        <v>1.7</v>
      </c>
    </row>
    <row r="29" spans="1:7" hidden="1" outlineLevel="2" x14ac:dyDescent="0.3">
      <c r="A29">
        <v>465</v>
      </c>
      <c r="B29" t="s">
        <v>322</v>
      </c>
      <c r="C29">
        <v>24</v>
      </c>
      <c r="D29" t="s">
        <v>8</v>
      </c>
      <c r="E29">
        <v>4</v>
      </c>
      <c r="F29" t="s">
        <v>35</v>
      </c>
      <c r="G29">
        <v>1.7</v>
      </c>
    </row>
    <row r="30" spans="1:7" outlineLevel="1" collapsed="1" x14ac:dyDescent="0.3">
      <c r="E30" s="1" t="s">
        <v>1353</v>
      </c>
      <c r="F30" t="str">
        <f>F29</f>
        <v>Bloodlord's Fetish</v>
      </c>
      <c r="G30">
        <f>SUBTOTAL(3,G25:G29)</f>
        <v>5</v>
      </c>
    </row>
    <row r="31" spans="1:7" hidden="1" outlineLevel="2" x14ac:dyDescent="0.3">
      <c r="A31">
        <v>173</v>
      </c>
      <c r="B31" t="s">
        <v>275</v>
      </c>
      <c r="C31">
        <v>30</v>
      </c>
      <c r="D31" t="s">
        <v>8</v>
      </c>
      <c r="E31">
        <v>5</v>
      </c>
      <c r="F31" t="s">
        <v>276</v>
      </c>
      <c r="G31">
        <v>4.08</v>
      </c>
    </row>
    <row r="32" spans="1:7" hidden="1" outlineLevel="2" x14ac:dyDescent="0.3">
      <c r="A32">
        <v>742</v>
      </c>
      <c r="B32" t="s">
        <v>745</v>
      </c>
      <c r="C32">
        <v>20</v>
      </c>
      <c r="D32" t="s">
        <v>8</v>
      </c>
      <c r="E32">
        <v>5</v>
      </c>
      <c r="F32" t="s">
        <v>276</v>
      </c>
      <c r="G32">
        <v>4.08</v>
      </c>
    </row>
    <row r="33" spans="1:7" hidden="1" outlineLevel="2" x14ac:dyDescent="0.3">
      <c r="A33">
        <v>530</v>
      </c>
      <c r="B33" t="s">
        <v>613</v>
      </c>
      <c r="C33">
        <v>24</v>
      </c>
      <c r="D33" t="s">
        <v>8</v>
      </c>
      <c r="E33">
        <v>5</v>
      </c>
      <c r="F33" t="s">
        <v>276</v>
      </c>
      <c r="G33">
        <v>4.08</v>
      </c>
    </row>
    <row r="34" spans="1:7" hidden="1" outlineLevel="2" x14ac:dyDescent="0.3">
      <c r="A34">
        <v>287</v>
      </c>
      <c r="B34" t="s">
        <v>405</v>
      </c>
      <c r="C34">
        <v>20</v>
      </c>
      <c r="D34" t="s">
        <v>8</v>
      </c>
      <c r="E34">
        <v>5</v>
      </c>
      <c r="F34" t="s">
        <v>276</v>
      </c>
      <c r="G34">
        <v>4.08</v>
      </c>
    </row>
    <row r="35" spans="1:7" outlineLevel="1" collapsed="1" x14ac:dyDescent="0.3">
      <c r="E35" s="1" t="s">
        <v>1354</v>
      </c>
      <c r="F35" t="str">
        <f>F34</f>
        <v>Putrid Fan</v>
      </c>
      <c r="G35">
        <f>SUBTOTAL(3,G31:G34)</f>
        <v>4</v>
      </c>
    </row>
    <row r="36" spans="1:7" hidden="1" outlineLevel="2" x14ac:dyDescent="0.3">
      <c r="A36">
        <v>66</v>
      </c>
      <c r="B36" t="s">
        <v>133</v>
      </c>
      <c r="C36">
        <v>21</v>
      </c>
      <c r="D36" t="s">
        <v>39</v>
      </c>
      <c r="E36">
        <v>6</v>
      </c>
      <c r="F36" t="s">
        <v>134</v>
      </c>
      <c r="G36">
        <v>3.7</v>
      </c>
    </row>
    <row r="37" spans="1:7" hidden="1" outlineLevel="2" x14ac:dyDescent="0.3">
      <c r="A37">
        <v>475</v>
      </c>
      <c r="B37" t="s">
        <v>574</v>
      </c>
      <c r="C37">
        <v>24</v>
      </c>
      <c r="D37" t="s">
        <v>8</v>
      </c>
      <c r="E37">
        <v>6</v>
      </c>
      <c r="F37" t="s">
        <v>134</v>
      </c>
      <c r="G37">
        <v>3.7</v>
      </c>
    </row>
    <row r="38" spans="1:7" outlineLevel="1" collapsed="1" x14ac:dyDescent="0.3">
      <c r="E38" s="1" t="s">
        <v>1355</v>
      </c>
      <c r="F38" t="str">
        <f>F37</f>
        <v>Rusty Skull</v>
      </c>
      <c r="G38">
        <f>SUBTOTAL(3,G36:G37)</f>
        <v>2</v>
      </c>
    </row>
    <row r="39" spans="1:7" hidden="1" outlineLevel="2" x14ac:dyDescent="0.3">
      <c r="A39">
        <v>41</v>
      </c>
      <c r="B39" t="s">
        <v>89</v>
      </c>
      <c r="C39">
        <v>20</v>
      </c>
      <c r="D39" t="s">
        <v>39</v>
      </c>
      <c r="E39">
        <v>7</v>
      </c>
      <c r="F39" t="s">
        <v>90</v>
      </c>
      <c r="G39">
        <v>1.33</v>
      </c>
    </row>
    <row r="40" spans="1:7" hidden="1" outlineLevel="2" x14ac:dyDescent="0.3">
      <c r="A40">
        <v>112</v>
      </c>
      <c r="B40" t="s">
        <v>199</v>
      </c>
      <c r="C40">
        <v>21</v>
      </c>
      <c r="D40" t="s">
        <v>39</v>
      </c>
      <c r="E40">
        <v>7</v>
      </c>
      <c r="F40" t="s">
        <v>90</v>
      </c>
      <c r="G40">
        <v>1.33</v>
      </c>
    </row>
    <row r="41" spans="1:7" hidden="1" outlineLevel="2" x14ac:dyDescent="0.3">
      <c r="A41">
        <v>555</v>
      </c>
      <c r="B41" t="s">
        <v>630</v>
      </c>
      <c r="C41">
        <v>23</v>
      </c>
      <c r="D41" t="s">
        <v>39</v>
      </c>
      <c r="E41">
        <v>7</v>
      </c>
      <c r="F41" t="s">
        <v>90</v>
      </c>
      <c r="G41">
        <v>1.33</v>
      </c>
    </row>
    <row r="42" spans="1:7" hidden="1" outlineLevel="2" x14ac:dyDescent="0.3">
      <c r="A42">
        <v>331</v>
      </c>
      <c r="B42" t="s">
        <v>446</v>
      </c>
      <c r="C42">
        <v>23</v>
      </c>
      <c r="D42" t="s">
        <v>8</v>
      </c>
      <c r="E42">
        <v>7</v>
      </c>
      <c r="F42" t="s">
        <v>90</v>
      </c>
      <c r="G42">
        <v>1.33</v>
      </c>
    </row>
    <row r="43" spans="1:7" hidden="1" outlineLevel="2" x14ac:dyDescent="0.3">
      <c r="A43">
        <v>103</v>
      </c>
      <c r="B43" t="s">
        <v>184</v>
      </c>
      <c r="C43">
        <v>24</v>
      </c>
      <c r="D43" t="s">
        <v>8</v>
      </c>
      <c r="E43">
        <v>7</v>
      </c>
      <c r="F43" t="s">
        <v>90</v>
      </c>
      <c r="G43">
        <v>1.33</v>
      </c>
    </row>
    <row r="44" spans="1:7" hidden="1" outlineLevel="2" x14ac:dyDescent="0.3">
      <c r="A44">
        <v>508</v>
      </c>
      <c r="B44" t="s">
        <v>598</v>
      </c>
      <c r="C44">
        <v>16</v>
      </c>
      <c r="D44" t="s">
        <v>8</v>
      </c>
      <c r="E44">
        <v>7</v>
      </c>
      <c r="F44" t="s">
        <v>90</v>
      </c>
      <c r="G44">
        <v>1.33</v>
      </c>
    </row>
    <row r="45" spans="1:7" hidden="1" outlineLevel="2" x14ac:dyDescent="0.3">
      <c r="A45">
        <v>540</v>
      </c>
      <c r="B45" t="s">
        <v>620</v>
      </c>
      <c r="C45">
        <v>29</v>
      </c>
      <c r="D45" t="s">
        <v>8</v>
      </c>
      <c r="E45">
        <v>7</v>
      </c>
      <c r="F45" t="s">
        <v>90</v>
      </c>
      <c r="G45">
        <v>1.33</v>
      </c>
    </row>
    <row r="46" spans="1:7" outlineLevel="1" collapsed="1" x14ac:dyDescent="0.3">
      <c r="E46" s="1" t="s">
        <v>1356</v>
      </c>
      <c r="F46" t="str">
        <f>F45</f>
        <v>Thorn, Satchel of Dark Souls</v>
      </c>
      <c r="G46">
        <f>SUBTOTAL(3,G39:G45)</f>
        <v>7</v>
      </c>
    </row>
    <row r="47" spans="1:7" hidden="1" outlineLevel="2" x14ac:dyDescent="0.3">
      <c r="A47">
        <v>140</v>
      </c>
      <c r="B47" t="s">
        <v>139</v>
      </c>
      <c r="C47">
        <v>20</v>
      </c>
      <c r="D47" t="s">
        <v>39</v>
      </c>
      <c r="E47">
        <v>8</v>
      </c>
      <c r="F47" t="s">
        <v>237</v>
      </c>
      <c r="G47">
        <v>3.93</v>
      </c>
    </row>
    <row r="48" spans="1:7" hidden="1" outlineLevel="2" x14ac:dyDescent="0.3">
      <c r="A48">
        <v>715</v>
      </c>
      <c r="B48" t="s">
        <v>484</v>
      </c>
      <c r="C48">
        <v>23</v>
      </c>
      <c r="D48" t="s">
        <v>8</v>
      </c>
      <c r="E48">
        <v>8</v>
      </c>
      <c r="F48" t="s">
        <v>237</v>
      </c>
      <c r="G48">
        <v>3.93</v>
      </c>
    </row>
    <row r="49" spans="1:7" hidden="1" outlineLevel="2" x14ac:dyDescent="0.3">
      <c r="A49">
        <v>557</v>
      </c>
      <c r="B49" t="s">
        <v>631</v>
      </c>
      <c r="C49">
        <v>42</v>
      </c>
      <c r="D49" t="s">
        <v>8</v>
      </c>
      <c r="E49">
        <v>8</v>
      </c>
      <c r="F49" t="s">
        <v>237</v>
      </c>
      <c r="G49">
        <v>3.93</v>
      </c>
    </row>
    <row r="50" spans="1:7" outlineLevel="1" collapsed="1" x14ac:dyDescent="0.3">
      <c r="E50" s="1" t="s">
        <v>1357</v>
      </c>
      <c r="F50" t="str">
        <f>F49</f>
        <v>Purgatory, Gem of Regret</v>
      </c>
      <c r="G50">
        <f>SUBTOTAL(3,G47:G49)</f>
        <v>3</v>
      </c>
    </row>
    <row r="51" spans="1:7" hidden="1" outlineLevel="2" x14ac:dyDescent="0.3">
      <c r="A51">
        <v>196</v>
      </c>
      <c r="B51" t="s">
        <v>310</v>
      </c>
      <c r="C51">
        <v>35</v>
      </c>
      <c r="D51" t="s">
        <v>39</v>
      </c>
      <c r="E51">
        <v>9</v>
      </c>
      <c r="F51" t="s">
        <v>95</v>
      </c>
      <c r="G51">
        <v>2.73</v>
      </c>
    </row>
    <row r="52" spans="1:7" hidden="1" outlineLevel="2" x14ac:dyDescent="0.3">
      <c r="A52">
        <v>276</v>
      </c>
      <c r="B52" t="s">
        <v>383</v>
      </c>
      <c r="C52">
        <v>16</v>
      </c>
      <c r="D52" t="s">
        <v>39</v>
      </c>
      <c r="E52">
        <v>9</v>
      </c>
      <c r="F52" t="s">
        <v>95</v>
      </c>
      <c r="G52">
        <v>2.73</v>
      </c>
    </row>
    <row r="53" spans="1:7" hidden="1" outlineLevel="2" x14ac:dyDescent="0.3">
      <c r="A53">
        <v>283</v>
      </c>
      <c r="B53" t="s">
        <v>400</v>
      </c>
      <c r="C53">
        <v>21</v>
      </c>
      <c r="D53" t="s">
        <v>39</v>
      </c>
      <c r="E53">
        <v>9</v>
      </c>
      <c r="F53" t="s">
        <v>95</v>
      </c>
      <c r="G53">
        <v>2.73</v>
      </c>
    </row>
    <row r="54" spans="1:7" hidden="1" outlineLevel="2" x14ac:dyDescent="0.3">
      <c r="A54">
        <v>44</v>
      </c>
      <c r="B54" t="s">
        <v>94</v>
      </c>
      <c r="C54">
        <v>24</v>
      </c>
      <c r="D54" t="s">
        <v>8</v>
      </c>
      <c r="E54">
        <v>9</v>
      </c>
      <c r="F54" t="s">
        <v>95</v>
      </c>
      <c r="G54">
        <v>2.73</v>
      </c>
    </row>
    <row r="55" spans="1:7" outlineLevel="1" collapsed="1" x14ac:dyDescent="0.3">
      <c r="E55" s="1" t="s">
        <v>1358</v>
      </c>
      <c r="F55" t="str">
        <f>F54</f>
        <v>Thorn, Conqueror of the Corrupted</v>
      </c>
      <c r="G55">
        <f>SUBTOTAL(3,G51:G54)</f>
        <v>4</v>
      </c>
    </row>
    <row r="56" spans="1:7" hidden="1" outlineLevel="2" x14ac:dyDescent="0.3">
      <c r="A56">
        <v>423</v>
      </c>
      <c r="B56" t="s">
        <v>529</v>
      </c>
      <c r="C56">
        <v>24</v>
      </c>
      <c r="D56" t="s">
        <v>8</v>
      </c>
      <c r="E56">
        <v>10</v>
      </c>
      <c r="F56" t="s">
        <v>187</v>
      </c>
      <c r="G56">
        <v>1.79</v>
      </c>
    </row>
    <row r="57" spans="1:7" hidden="1" outlineLevel="2" x14ac:dyDescent="0.3">
      <c r="A57">
        <v>105</v>
      </c>
      <c r="B57" t="s">
        <v>186</v>
      </c>
      <c r="C57">
        <v>27</v>
      </c>
      <c r="D57" t="s">
        <v>8</v>
      </c>
      <c r="E57">
        <v>10</v>
      </c>
      <c r="F57" t="s">
        <v>187</v>
      </c>
      <c r="G57">
        <v>1.79</v>
      </c>
    </row>
    <row r="58" spans="1:7" hidden="1" outlineLevel="2" x14ac:dyDescent="0.3">
      <c r="A58">
        <v>701</v>
      </c>
      <c r="B58" t="s">
        <v>718</v>
      </c>
      <c r="C58">
        <v>25</v>
      </c>
      <c r="D58" t="s">
        <v>8</v>
      </c>
      <c r="E58">
        <v>10</v>
      </c>
      <c r="F58" t="s">
        <v>187</v>
      </c>
      <c r="G58">
        <v>1.79</v>
      </c>
    </row>
    <row r="59" spans="1:7" hidden="1" outlineLevel="2" x14ac:dyDescent="0.3">
      <c r="A59">
        <v>241</v>
      </c>
      <c r="B59" t="s">
        <v>360</v>
      </c>
      <c r="C59">
        <v>22</v>
      </c>
      <c r="D59" t="s">
        <v>8</v>
      </c>
      <c r="E59">
        <v>10</v>
      </c>
      <c r="F59" t="s">
        <v>187</v>
      </c>
      <c r="G59">
        <v>1.79</v>
      </c>
    </row>
    <row r="60" spans="1:7" outlineLevel="1" collapsed="1" x14ac:dyDescent="0.3">
      <c r="E60" s="1" t="s">
        <v>1359</v>
      </c>
      <c r="F60" t="str">
        <f>F59</f>
        <v>Sleepwalker</v>
      </c>
      <c r="G60">
        <f>SUBTOTAL(3,G56:G59)</f>
        <v>4</v>
      </c>
    </row>
    <row r="61" spans="1:7" hidden="1" outlineLevel="2" x14ac:dyDescent="0.3">
      <c r="A61">
        <v>347</v>
      </c>
      <c r="B61" t="s">
        <v>464</v>
      </c>
      <c r="C61">
        <v>23</v>
      </c>
      <c r="D61" t="s">
        <v>39</v>
      </c>
      <c r="E61">
        <v>11</v>
      </c>
      <c r="F61" t="s">
        <v>298</v>
      </c>
      <c r="G61">
        <v>3.65</v>
      </c>
    </row>
    <row r="62" spans="1:7" hidden="1" outlineLevel="2" x14ac:dyDescent="0.3">
      <c r="A62">
        <v>334</v>
      </c>
      <c r="B62" t="s">
        <v>449</v>
      </c>
      <c r="C62">
        <v>21</v>
      </c>
      <c r="D62" t="s">
        <v>8</v>
      </c>
      <c r="E62">
        <v>11</v>
      </c>
      <c r="F62" t="s">
        <v>298</v>
      </c>
      <c r="G62">
        <v>3.65</v>
      </c>
    </row>
    <row r="63" spans="1:7" hidden="1" outlineLevel="2" x14ac:dyDescent="0.3">
      <c r="A63">
        <v>377</v>
      </c>
      <c r="B63" t="s">
        <v>490</v>
      </c>
      <c r="C63">
        <v>20</v>
      </c>
      <c r="D63" t="s">
        <v>8</v>
      </c>
      <c r="E63">
        <v>11</v>
      </c>
      <c r="F63" t="s">
        <v>298</v>
      </c>
      <c r="G63">
        <v>3.65</v>
      </c>
    </row>
    <row r="64" spans="1:7" hidden="1" outlineLevel="2" x14ac:dyDescent="0.3">
      <c r="A64">
        <v>187</v>
      </c>
      <c r="B64" t="s">
        <v>297</v>
      </c>
      <c r="C64">
        <v>8</v>
      </c>
      <c r="D64" t="s">
        <v>8</v>
      </c>
      <c r="E64">
        <v>11</v>
      </c>
      <c r="F64" t="s">
        <v>298</v>
      </c>
      <c r="G64">
        <v>3.65</v>
      </c>
    </row>
    <row r="65" spans="1:7" hidden="1" outlineLevel="2" x14ac:dyDescent="0.3">
      <c r="A65">
        <v>383</v>
      </c>
      <c r="B65" t="s">
        <v>496</v>
      </c>
      <c r="C65">
        <v>34</v>
      </c>
      <c r="D65" t="s">
        <v>8</v>
      </c>
      <c r="E65">
        <v>11</v>
      </c>
      <c r="F65" t="s">
        <v>298</v>
      </c>
      <c r="G65">
        <v>3.65</v>
      </c>
    </row>
    <row r="66" spans="1:7" outlineLevel="1" collapsed="1" x14ac:dyDescent="0.3">
      <c r="E66" s="1" t="s">
        <v>1360</v>
      </c>
      <c r="F66" t="str">
        <f>F65</f>
        <v>Brimstone</v>
      </c>
      <c r="G66">
        <f>SUBTOTAL(3,G61:G65)</f>
        <v>5</v>
      </c>
    </row>
    <row r="67" spans="1:7" hidden="1" outlineLevel="2" x14ac:dyDescent="0.3">
      <c r="A67">
        <v>731</v>
      </c>
      <c r="B67" t="s">
        <v>738</v>
      </c>
      <c r="C67">
        <v>22</v>
      </c>
      <c r="D67" t="s">
        <v>39</v>
      </c>
      <c r="E67">
        <v>12</v>
      </c>
      <c r="F67" t="s">
        <v>158</v>
      </c>
      <c r="G67">
        <v>1.02</v>
      </c>
    </row>
    <row r="68" spans="1:7" hidden="1" outlineLevel="2" x14ac:dyDescent="0.3">
      <c r="A68">
        <v>579</v>
      </c>
      <c r="B68" t="s">
        <v>141</v>
      </c>
      <c r="C68">
        <v>25</v>
      </c>
      <c r="D68" t="s">
        <v>39</v>
      </c>
      <c r="E68">
        <v>12</v>
      </c>
      <c r="F68" t="s">
        <v>158</v>
      </c>
      <c r="G68">
        <v>1.02</v>
      </c>
    </row>
    <row r="69" spans="1:7" hidden="1" outlineLevel="2" x14ac:dyDescent="0.3">
      <c r="A69">
        <v>83</v>
      </c>
      <c r="B69" t="s">
        <v>157</v>
      </c>
      <c r="C69">
        <v>25</v>
      </c>
      <c r="D69" t="s">
        <v>8</v>
      </c>
      <c r="E69">
        <v>12</v>
      </c>
      <c r="F69" t="s">
        <v>158</v>
      </c>
      <c r="G69">
        <v>1.02</v>
      </c>
    </row>
    <row r="70" spans="1:7" hidden="1" outlineLevel="2" x14ac:dyDescent="0.3">
      <c r="A70">
        <v>702</v>
      </c>
      <c r="B70" t="s">
        <v>719</v>
      </c>
      <c r="C70">
        <v>19</v>
      </c>
      <c r="D70" t="s">
        <v>8</v>
      </c>
      <c r="E70">
        <v>12</v>
      </c>
      <c r="F70" t="s">
        <v>158</v>
      </c>
      <c r="G70">
        <v>1.02</v>
      </c>
    </row>
    <row r="71" spans="1:7" hidden="1" outlineLevel="2" x14ac:dyDescent="0.3">
      <c r="A71">
        <v>770</v>
      </c>
      <c r="B71" t="s">
        <v>149</v>
      </c>
      <c r="C71">
        <v>34</v>
      </c>
      <c r="D71" t="s">
        <v>8</v>
      </c>
      <c r="E71">
        <v>12</v>
      </c>
      <c r="F71" t="s">
        <v>158</v>
      </c>
      <c r="G71">
        <v>1.02</v>
      </c>
    </row>
    <row r="72" spans="1:7" hidden="1" outlineLevel="2" x14ac:dyDescent="0.3">
      <c r="A72">
        <v>100</v>
      </c>
      <c r="B72" t="s">
        <v>180</v>
      </c>
      <c r="C72">
        <v>30</v>
      </c>
      <c r="D72" t="s">
        <v>8</v>
      </c>
      <c r="E72">
        <v>12</v>
      </c>
      <c r="F72" t="s">
        <v>158</v>
      </c>
      <c r="G72">
        <v>1.02</v>
      </c>
    </row>
    <row r="73" spans="1:7" outlineLevel="1" collapsed="1" x14ac:dyDescent="0.3">
      <c r="E73" s="1" t="s">
        <v>1361</v>
      </c>
      <c r="F73" t="str">
        <f>F72</f>
        <v>Dawne</v>
      </c>
      <c r="G73">
        <f>SUBTOTAL(3,G67:G72)</f>
        <v>6</v>
      </c>
    </row>
    <row r="74" spans="1:7" hidden="1" outlineLevel="2" x14ac:dyDescent="0.3">
      <c r="A74">
        <v>416</v>
      </c>
      <c r="B74" t="s">
        <v>428</v>
      </c>
      <c r="C74">
        <v>25</v>
      </c>
      <c r="D74" t="s">
        <v>8</v>
      </c>
      <c r="E74">
        <v>13</v>
      </c>
      <c r="F74" t="s">
        <v>204</v>
      </c>
      <c r="G74">
        <v>1.41</v>
      </c>
    </row>
    <row r="75" spans="1:7" hidden="1" outlineLevel="2" x14ac:dyDescent="0.3">
      <c r="A75">
        <v>599</v>
      </c>
      <c r="B75" t="s">
        <v>544</v>
      </c>
      <c r="C75">
        <v>15</v>
      </c>
      <c r="D75" t="s">
        <v>8</v>
      </c>
      <c r="E75">
        <v>13</v>
      </c>
      <c r="F75" t="s">
        <v>204</v>
      </c>
      <c r="G75">
        <v>1.41</v>
      </c>
    </row>
    <row r="76" spans="1:7" hidden="1" outlineLevel="2" x14ac:dyDescent="0.3">
      <c r="A76">
        <v>338</v>
      </c>
      <c r="B76" t="s">
        <v>455</v>
      </c>
      <c r="C76">
        <v>22</v>
      </c>
      <c r="D76" t="s">
        <v>8</v>
      </c>
      <c r="E76">
        <v>13</v>
      </c>
      <c r="F76" t="s">
        <v>204</v>
      </c>
      <c r="G76">
        <v>1.41</v>
      </c>
    </row>
    <row r="77" spans="1:7" hidden="1" outlineLevel="2" x14ac:dyDescent="0.3">
      <c r="A77">
        <v>115</v>
      </c>
      <c r="B77" t="s">
        <v>203</v>
      </c>
      <c r="C77">
        <v>28</v>
      </c>
      <c r="D77" t="s">
        <v>8</v>
      </c>
      <c r="E77">
        <v>13</v>
      </c>
      <c r="F77" t="s">
        <v>204</v>
      </c>
      <c r="G77">
        <v>1.41</v>
      </c>
    </row>
    <row r="78" spans="1:7" outlineLevel="1" collapsed="1" x14ac:dyDescent="0.3">
      <c r="E78" s="1" t="s">
        <v>1362</v>
      </c>
      <c r="F78" t="str">
        <f>F77</f>
        <v>Serenity</v>
      </c>
      <c r="G78">
        <f>SUBTOTAL(3,G74:G77)</f>
        <v>4</v>
      </c>
    </row>
    <row r="79" spans="1:7" hidden="1" outlineLevel="2" x14ac:dyDescent="0.3">
      <c r="A79">
        <v>428</v>
      </c>
      <c r="B79" t="s">
        <v>93</v>
      </c>
      <c r="C79">
        <v>24</v>
      </c>
      <c r="D79" t="s">
        <v>8</v>
      </c>
      <c r="E79">
        <v>14</v>
      </c>
      <c r="F79" t="s">
        <v>476</v>
      </c>
      <c r="G79">
        <v>2.61</v>
      </c>
    </row>
    <row r="80" spans="1:7" hidden="1" outlineLevel="2" x14ac:dyDescent="0.3">
      <c r="A80">
        <v>360</v>
      </c>
      <c r="B80" t="s">
        <v>475</v>
      </c>
      <c r="C80">
        <v>29</v>
      </c>
      <c r="D80" t="s">
        <v>8</v>
      </c>
      <c r="E80">
        <v>14</v>
      </c>
      <c r="F80" t="s">
        <v>476</v>
      </c>
      <c r="G80">
        <v>2.61</v>
      </c>
    </row>
    <row r="81" spans="1:7" outlineLevel="1" collapsed="1" x14ac:dyDescent="0.3">
      <c r="E81" s="1" t="s">
        <v>1363</v>
      </c>
      <c r="F81" t="str">
        <f>F80</f>
        <v>Possessed Core</v>
      </c>
      <c r="G81">
        <f>SUBTOTAL(3,G79:G80)</f>
        <v>2</v>
      </c>
    </row>
    <row r="82" spans="1:7" hidden="1" outlineLevel="2" x14ac:dyDescent="0.3">
      <c r="A82">
        <v>588</v>
      </c>
      <c r="B82" t="s">
        <v>632</v>
      </c>
      <c r="C82">
        <v>25</v>
      </c>
      <c r="D82" t="s">
        <v>39</v>
      </c>
      <c r="E82">
        <v>15</v>
      </c>
      <c r="F82" t="s">
        <v>108</v>
      </c>
      <c r="G82">
        <v>2.96</v>
      </c>
    </row>
    <row r="83" spans="1:7" hidden="1" outlineLevel="2" x14ac:dyDescent="0.3">
      <c r="A83">
        <v>183</v>
      </c>
      <c r="B83" t="s">
        <v>291</v>
      </c>
      <c r="C83">
        <v>21</v>
      </c>
      <c r="D83" t="s">
        <v>8</v>
      </c>
      <c r="E83">
        <v>15</v>
      </c>
      <c r="F83" t="s">
        <v>108</v>
      </c>
      <c r="G83">
        <v>2.96</v>
      </c>
    </row>
    <row r="84" spans="1:7" hidden="1" outlineLevel="2" x14ac:dyDescent="0.3">
      <c r="A84">
        <v>79</v>
      </c>
      <c r="B84" t="s">
        <v>152</v>
      </c>
      <c r="C84">
        <v>26</v>
      </c>
      <c r="D84" t="s">
        <v>8</v>
      </c>
      <c r="E84">
        <v>15</v>
      </c>
      <c r="F84" t="s">
        <v>108</v>
      </c>
      <c r="G84">
        <v>2.96</v>
      </c>
    </row>
    <row r="85" spans="1:7" hidden="1" outlineLevel="2" x14ac:dyDescent="0.3">
      <c r="A85">
        <v>51</v>
      </c>
      <c r="B85" t="s">
        <v>107</v>
      </c>
      <c r="C85">
        <v>22</v>
      </c>
      <c r="D85" t="s">
        <v>8</v>
      </c>
      <c r="E85">
        <v>15</v>
      </c>
      <c r="F85" t="s">
        <v>108</v>
      </c>
      <c r="G85">
        <v>2.96</v>
      </c>
    </row>
    <row r="86" spans="1:7" hidden="1" outlineLevel="2" x14ac:dyDescent="0.3">
      <c r="A86">
        <v>316</v>
      </c>
      <c r="B86" t="s">
        <v>433</v>
      </c>
      <c r="C86">
        <v>25</v>
      </c>
      <c r="D86" t="s">
        <v>8</v>
      </c>
      <c r="E86">
        <v>15</v>
      </c>
      <c r="F86" t="s">
        <v>108</v>
      </c>
      <c r="G86">
        <v>2.96</v>
      </c>
    </row>
    <row r="87" spans="1:7" outlineLevel="1" collapsed="1" x14ac:dyDescent="0.3">
      <c r="E87" s="1" t="s">
        <v>1364</v>
      </c>
      <c r="F87" t="str">
        <f>F86</f>
        <v>Soul Infused Crystal</v>
      </c>
      <c r="G87">
        <f>SUBTOTAL(3,G82:G86)</f>
        <v>5</v>
      </c>
    </row>
    <row r="88" spans="1:7" hidden="1" outlineLevel="2" x14ac:dyDescent="0.3">
      <c r="A88">
        <v>280</v>
      </c>
      <c r="B88" t="s">
        <v>396</v>
      </c>
      <c r="C88">
        <v>20</v>
      </c>
      <c r="D88" t="s">
        <v>39</v>
      </c>
      <c r="E88">
        <v>16</v>
      </c>
      <c r="F88" t="s">
        <v>354</v>
      </c>
      <c r="G88">
        <v>3.55</v>
      </c>
    </row>
    <row r="89" spans="1:7" hidden="1" outlineLevel="2" x14ac:dyDescent="0.3">
      <c r="A89">
        <v>502</v>
      </c>
      <c r="B89" t="s">
        <v>595</v>
      </c>
      <c r="C89">
        <v>20</v>
      </c>
      <c r="D89" t="s">
        <v>8</v>
      </c>
      <c r="E89">
        <v>16</v>
      </c>
      <c r="F89" t="s">
        <v>354</v>
      </c>
      <c r="G89">
        <v>3.55</v>
      </c>
    </row>
    <row r="90" spans="1:7" hidden="1" outlineLevel="2" x14ac:dyDescent="0.3">
      <c r="A90">
        <v>249</v>
      </c>
      <c r="B90" t="s">
        <v>367</v>
      </c>
      <c r="C90">
        <v>20</v>
      </c>
      <c r="D90" t="s">
        <v>8</v>
      </c>
      <c r="E90">
        <v>16</v>
      </c>
      <c r="F90" t="s">
        <v>354</v>
      </c>
      <c r="G90">
        <v>3.55</v>
      </c>
    </row>
    <row r="91" spans="1:7" hidden="1" outlineLevel="2" x14ac:dyDescent="0.3">
      <c r="A91">
        <v>237</v>
      </c>
      <c r="B91" t="s">
        <v>353</v>
      </c>
      <c r="C91">
        <v>20</v>
      </c>
      <c r="D91" t="s">
        <v>27</v>
      </c>
      <c r="E91">
        <v>16</v>
      </c>
      <c r="F91" t="s">
        <v>354</v>
      </c>
      <c r="G91">
        <v>3.55</v>
      </c>
    </row>
    <row r="92" spans="1:7" outlineLevel="1" collapsed="1" x14ac:dyDescent="0.3">
      <c r="E92" s="1" t="s">
        <v>1365</v>
      </c>
      <c r="F92" t="str">
        <f>F91</f>
        <v>Restored Bauble</v>
      </c>
      <c r="G92">
        <f>SUBTOTAL(3,G88:G91)</f>
        <v>4</v>
      </c>
    </row>
    <row r="93" spans="1:7" hidden="1" outlineLevel="2" x14ac:dyDescent="0.3">
      <c r="A93">
        <v>327</v>
      </c>
      <c r="B93" t="s">
        <v>442</v>
      </c>
      <c r="C93">
        <v>22</v>
      </c>
      <c r="D93" t="s">
        <v>39</v>
      </c>
      <c r="E93">
        <v>17</v>
      </c>
      <c r="F93" t="s">
        <v>166</v>
      </c>
      <c r="G93">
        <v>1.7</v>
      </c>
    </row>
    <row r="94" spans="1:7" hidden="1" outlineLevel="2" x14ac:dyDescent="0.3">
      <c r="A94">
        <v>761</v>
      </c>
      <c r="B94" t="s">
        <v>756</v>
      </c>
      <c r="C94">
        <v>45</v>
      </c>
      <c r="D94" t="s">
        <v>8</v>
      </c>
      <c r="E94">
        <v>17</v>
      </c>
      <c r="F94" t="s">
        <v>166</v>
      </c>
      <c r="G94">
        <v>1.7</v>
      </c>
    </row>
    <row r="95" spans="1:7" hidden="1" outlineLevel="2" x14ac:dyDescent="0.3">
      <c r="A95">
        <v>89</v>
      </c>
      <c r="B95" t="s">
        <v>165</v>
      </c>
      <c r="C95">
        <v>22</v>
      </c>
      <c r="D95" t="s">
        <v>8</v>
      </c>
      <c r="E95">
        <v>17</v>
      </c>
      <c r="F95" t="s">
        <v>166</v>
      </c>
      <c r="G95">
        <v>1.7</v>
      </c>
    </row>
    <row r="96" spans="1:7" hidden="1" outlineLevel="2" x14ac:dyDescent="0.3">
      <c r="A96">
        <v>337</v>
      </c>
      <c r="B96" t="s">
        <v>454</v>
      </c>
      <c r="C96">
        <v>15</v>
      </c>
      <c r="D96" t="s">
        <v>8</v>
      </c>
      <c r="E96">
        <v>17</v>
      </c>
      <c r="F96" t="s">
        <v>166</v>
      </c>
      <c r="G96">
        <v>1.7</v>
      </c>
    </row>
    <row r="97" spans="1:7" outlineLevel="1" collapsed="1" x14ac:dyDescent="0.3">
      <c r="E97" s="1" t="s">
        <v>1366</v>
      </c>
      <c r="F97" t="str">
        <f>F96</f>
        <v>Lazarus, Terror of the Earth</v>
      </c>
      <c r="G97">
        <f>SUBTOTAL(3,G93:G96)</f>
        <v>4</v>
      </c>
    </row>
    <row r="98" spans="1:7" hidden="1" outlineLevel="2" x14ac:dyDescent="0.3">
      <c r="A98">
        <v>269</v>
      </c>
      <c r="B98" t="s">
        <v>384</v>
      </c>
      <c r="C98">
        <v>15</v>
      </c>
      <c r="D98" t="s">
        <v>8</v>
      </c>
      <c r="E98">
        <v>18</v>
      </c>
      <c r="F98" t="s">
        <v>385</v>
      </c>
      <c r="G98">
        <v>4.6500000000000004</v>
      </c>
    </row>
    <row r="99" spans="1:7" hidden="1" outlineLevel="2" x14ac:dyDescent="0.3">
      <c r="A99">
        <v>472</v>
      </c>
      <c r="B99" t="s">
        <v>272</v>
      </c>
      <c r="C99">
        <v>22</v>
      </c>
      <c r="D99" t="s">
        <v>8</v>
      </c>
      <c r="E99">
        <v>18</v>
      </c>
      <c r="F99" t="s">
        <v>385</v>
      </c>
      <c r="G99">
        <v>4.6500000000000004</v>
      </c>
    </row>
    <row r="100" spans="1:7" outlineLevel="1" collapsed="1" x14ac:dyDescent="0.3">
      <c r="E100" s="1" t="s">
        <v>1367</v>
      </c>
      <c r="F100" t="str">
        <f>F99</f>
        <v>Torchlight, Bond of Storms</v>
      </c>
      <c r="G100">
        <f>SUBTOTAL(3,G98:G99)</f>
        <v>2</v>
      </c>
    </row>
    <row r="101" spans="1:7" hidden="1" outlineLevel="2" x14ac:dyDescent="0.3">
      <c r="A101">
        <v>528</v>
      </c>
      <c r="B101" t="s">
        <v>611</v>
      </c>
      <c r="C101">
        <v>22</v>
      </c>
      <c r="D101" t="s">
        <v>39</v>
      </c>
      <c r="E101">
        <v>19</v>
      </c>
      <c r="F101" t="s">
        <v>358</v>
      </c>
      <c r="G101">
        <v>1.02</v>
      </c>
    </row>
    <row r="102" spans="1:7" hidden="1" outlineLevel="2" x14ac:dyDescent="0.3">
      <c r="A102">
        <v>239</v>
      </c>
      <c r="B102" t="s">
        <v>357</v>
      </c>
      <c r="C102">
        <v>30</v>
      </c>
      <c r="D102" t="s">
        <v>8</v>
      </c>
      <c r="E102">
        <v>19</v>
      </c>
      <c r="F102" t="s">
        <v>358</v>
      </c>
      <c r="G102">
        <v>1.02</v>
      </c>
    </row>
    <row r="103" spans="1:7" hidden="1" outlineLevel="2" x14ac:dyDescent="0.3">
      <c r="A103">
        <v>361</v>
      </c>
      <c r="B103" t="s">
        <v>477</v>
      </c>
      <c r="C103">
        <v>25</v>
      </c>
      <c r="D103" t="s">
        <v>8</v>
      </c>
      <c r="E103">
        <v>19</v>
      </c>
      <c r="F103" t="s">
        <v>358</v>
      </c>
      <c r="G103">
        <v>1.02</v>
      </c>
    </row>
    <row r="104" spans="1:7" hidden="1" outlineLevel="2" x14ac:dyDescent="0.3">
      <c r="A104">
        <v>773</v>
      </c>
      <c r="B104" t="s">
        <v>760</v>
      </c>
      <c r="C104">
        <v>21</v>
      </c>
      <c r="D104" t="s">
        <v>8</v>
      </c>
      <c r="E104">
        <v>19</v>
      </c>
      <c r="F104" t="s">
        <v>358</v>
      </c>
      <c r="G104">
        <v>1.02</v>
      </c>
    </row>
    <row r="105" spans="1:7" hidden="1" outlineLevel="2" x14ac:dyDescent="0.3">
      <c r="A105">
        <v>582</v>
      </c>
      <c r="B105" t="s">
        <v>645</v>
      </c>
      <c r="C105">
        <v>20</v>
      </c>
      <c r="D105" t="s">
        <v>8</v>
      </c>
      <c r="E105">
        <v>19</v>
      </c>
      <c r="F105" t="s">
        <v>358</v>
      </c>
      <c r="G105">
        <v>1.02</v>
      </c>
    </row>
    <row r="106" spans="1:7" hidden="1" outlineLevel="2" x14ac:dyDescent="0.3">
      <c r="A106">
        <v>344</v>
      </c>
      <c r="B106" t="s">
        <v>461</v>
      </c>
      <c r="C106">
        <v>23</v>
      </c>
      <c r="D106" t="s">
        <v>8</v>
      </c>
      <c r="E106">
        <v>19</v>
      </c>
      <c r="F106" t="s">
        <v>358</v>
      </c>
      <c r="G106">
        <v>1.02</v>
      </c>
    </row>
    <row r="107" spans="1:7" hidden="1" outlineLevel="2" x14ac:dyDescent="0.3">
      <c r="A107">
        <v>657</v>
      </c>
      <c r="B107" t="s">
        <v>612</v>
      </c>
      <c r="C107">
        <v>21</v>
      </c>
      <c r="D107" t="s">
        <v>8</v>
      </c>
      <c r="E107">
        <v>19</v>
      </c>
      <c r="F107" t="s">
        <v>358</v>
      </c>
      <c r="G107">
        <v>1.02</v>
      </c>
    </row>
    <row r="108" spans="1:7" hidden="1" outlineLevel="2" x14ac:dyDescent="0.3">
      <c r="A108">
        <v>654</v>
      </c>
      <c r="B108" t="s">
        <v>569</v>
      </c>
      <c r="C108">
        <v>24</v>
      </c>
      <c r="D108" t="s">
        <v>8</v>
      </c>
      <c r="E108">
        <v>19</v>
      </c>
      <c r="F108" t="s">
        <v>358</v>
      </c>
      <c r="G108">
        <v>1.02</v>
      </c>
    </row>
    <row r="109" spans="1:7" outlineLevel="1" collapsed="1" x14ac:dyDescent="0.3">
      <c r="E109" s="1" t="s">
        <v>1368</v>
      </c>
      <c r="F109" t="str">
        <f>F108</f>
        <v>Pursuit, Cudgel of Necromancy</v>
      </c>
      <c r="G109">
        <f>SUBTOTAL(3,G101:G108)</f>
        <v>8</v>
      </c>
    </row>
    <row r="110" spans="1:7" hidden="1" outlineLevel="2" x14ac:dyDescent="0.3">
      <c r="A110">
        <v>391</v>
      </c>
      <c r="B110" t="s">
        <v>504</v>
      </c>
      <c r="C110">
        <v>18</v>
      </c>
      <c r="D110" t="s">
        <v>8</v>
      </c>
      <c r="E110">
        <v>20</v>
      </c>
      <c r="F110" t="s">
        <v>150</v>
      </c>
      <c r="G110">
        <v>3.27</v>
      </c>
    </row>
    <row r="111" spans="1:7" hidden="1" outlineLevel="2" x14ac:dyDescent="0.3">
      <c r="A111">
        <v>718</v>
      </c>
      <c r="B111" t="s">
        <v>412</v>
      </c>
      <c r="C111">
        <v>37</v>
      </c>
      <c r="D111" t="s">
        <v>8</v>
      </c>
      <c r="E111">
        <v>20</v>
      </c>
      <c r="F111" t="s">
        <v>150</v>
      </c>
      <c r="G111">
        <v>3.27</v>
      </c>
    </row>
    <row r="112" spans="1:7" hidden="1" outlineLevel="2" x14ac:dyDescent="0.3">
      <c r="A112">
        <v>655</v>
      </c>
      <c r="B112" t="s">
        <v>689</v>
      </c>
      <c r="C112">
        <v>15</v>
      </c>
      <c r="D112" t="s">
        <v>8</v>
      </c>
      <c r="E112">
        <v>20</v>
      </c>
      <c r="F112" t="s">
        <v>150</v>
      </c>
      <c r="G112">
        <v>3.27</v>
      </c>
    </row>
    <row r="113" spans="1:7" hidden="1" outlineLevel="2" x14ac:dyDescent="0.3">
      <c r="A113">
        <v>77</v>
      </c>
      <c r="B113" t="s">
        <v>149</v>
      </c>
      <c r="C113">
        <v>34</v>
      </c>
      <c r="D113" t="s">
        <v>8</v>
      </c>
      <c r="E113">
        <v>20</v>
      </c>
      <c r="F113" t="s">
        <v>150</v>
      </c>
      <c r="G113">
        <v>3.27</v>
      </c>
    </row>
    <row r="114" spans="1:7" hidden="1" outlineLevel="2" x14ac:dyDescent="0.3">
      <c r="A114">
        <v>425</v>
      </c>
      <c r="B114" t="s">
        <v>531</v>
      </c>
      <c r="C114">
        <v>15</v>
      </c>
      <c r="D114" t="s">
        <v>8</v>
      </c>
      <c r="E114">
        <v>20</v>
      </c>
      <c r="F114" t="s">
        <v>150</v>
      </c>
      <c r="G114">
        <v>3.27</v>
      </c>
    </row>
    <row r="115" spans="1:7" outlineLevel="1" collapsed="1" x14ac:dyDescent="0.3">
      <c r="E115" s="1" t="s">
        <v>1369</v>
      </c>
      <c r="F115" t="str">
        <f>F114</f>
        <v>Netherbane</v>
      </c>
      <c r="G115">
        <f>SUBTOTAL(3,G110:G114)</f>
        <v>5</v>
      </c>
    </row>
    <row r="116" spans="1:7" hidden="1" outlineLevel="2" x14ac:dyDescent="0.3">
      <c r="A116">
        <v>523</v>
      </c>
      <c r="B116" t="s">
        <v>607</v>
      </c>
      <c r="C116">
        <v>24</v>
      </c>
      <c r="D116" t="s">
        <v>8</v>
      </c>
      <c r="E116">
        <v>21</v>
      </c>
      <c r="F116" t="s">
        <v>25</v>
      </c>
      <c r="G116">
        <v>1.1000000000000001</v>
      </c>
    </row>
    <row r="117" spans="1:7" hidden="1" outlineLevel="2" x14ac:dyDescent="0.3">
      <c r="A117">
        <v>532</v>
      </c>
      <c r="B117" t="s">
        <v>615</v>
      </c>
      <c r="C117">
        <v>16</v>
      </c>
      <c r="D117" t="s">
        <v>8</v>
      </c>
      <c r="E117">
        <v>21</v>
      </c>
      <c r="F117" t="s">
        <v>25</v>
      </c>
      <c r="G117">
        <v>1.1000000000000001</v>
      </c>
    </row>
    <row r="118" spans="1:7" hidden="1" outlineLevel="2" x14ac:dyDescent="0.3">
      <c r="A118">
        <v>726</v>
      </c>
      <c r="B118" t="s">
        <v>733</v>
      </c>
      <c r="C118">
        <v>23</v>
      </c>
      <c r="D118" t="s">
        <v>8</v>
      </c>
      <c r="E118">
        <v>21</v>
      </c>
      <c r="F118" t="s">
        <v>25</v>
      </c>
      <c r="G118">
        <v>1.1000000000000001</v>
      </c>
    </row>
    <row r="119" spans="1:7" hidden="1" outlineLevel="2" x14ac:dyDescent="0.3">
      <c r="A119">
        <v>8</v>
      </c>
      <c r="B119" t="s">
        <v>24</v>
      </c>
      <c r="C119">
        <v>22</v>
      </c>
      <c r="D119" t="s">
        <v>8</v>
      </c>
      <c r="E119">
        <v>21</v>
      </c>
      <c r="F119" t="s">
        <v>25</v>
      </c>
      <c r="G119">
        <v>1.1000000000000001</v>
      </c>
    </row>
    <row r="120" spans="1:7" hidden="1" outlineLevel="2" x14ac:dyDescent="0.3">
      <c r="A120">
        <v>514</v>
      </c>
      <c r="B120" t="s">
        <v>602</v>
      </c>
      <c r="C120">
        <v>21</v>
      </c>
      <c r="D120" t="s">
        <v>8</v>
      </c>
      <c r="E120">
        <v>21</v>
      </c>
      <c r="F120" t="s">
        <v>25</v>
      </c>
      <c r="G120">
        <v>1.1000000000000001</v>
      </c>
    </row>
    <row r="121" spans="1:7" outlineLevel="1" collapsed="1" x14ac:dyDescent="0.3">
      <c r="E121" s="1" t="s">
        <v>1370</v>
      </c>
      <c r="F121" t="str">
        <f>F120</f>
        <v>Souleater</v>
      </c>
      <c r="G121">
        <f>SUBTOTAL(3,G116:G120)</f>
        <v>5</v>
      </c>
    </row>
    <row r="122" spans="1:7" hidden="1" outlineLevel="2" x14ac:dyDescent="0.3">
      <c r="A122">
        <v>644</v>
      </c>
      <c r="B122" t="s">
        <v>500</v>
      </c>
      <c r="C122">
        <v>26</v>
      </c>
      <c r="D122" t="s">
        <v>8</v>
      </c>
      <c r="E122">
        <v>22</v>
      </c>
      <c r="F122" t="s">
        <v>106</v>
      </c>
      <c r="G122">
        <v>2.1800000000000002</v>
      </c>
    </row>
    <row r="123" spans="1:7" hidden="1" outlineLevel="2" x14ac:dyDescent="0.3">
      <c r="A123">
        <v>638</v>
      </c>
      <c r="B123" t="s">
        <v>677</v>
      </c>
      <c r="C123">
        <v>24</v>
      </c>
      <c r="D123" t="s">
        <v>8</v>
      </c>
      <c r="E123">
        <v>22</v>
      </c>
      <c r="F123" t="s">
        <v>106</v>
      </c>
      <c r="G123">
        <v>2.1800000000000002</v>
      </c>
    </row>
    <row r="124" spans="1:7" hidden="1" outlineLevel="2" x14ac:dyDescent="0.3">
      <c r="A124">
        <v>144</v>
      </c>
      <c r="B124" t="s">
        <v>241</v>
      </c>
      <c r="C124">
        <v>18</v>
      </c>
      <c r="D124" t="s">
        <v>8</v>
      </c>
      <c r="E124">
        <v>22</v>
      </c>
      <c r="F124" t="s">
        <v>106</v>
      </c>
      <c r="G124">
        <v>2.1800000000000002</v>
      </c>
    </row>
    <row r="125" spans="1:7" hidden="1" outlineLevel="2" x14ac:dyDescent="0.3">
      <c r="A125">
        <v>491</v>
      </c>
      <c r="B125" t="s">
        <v>585</v>
      </c>
      <c r="C125">
        <v>22</v>
      </c>
      <c r="D125" t="s">
        <v>8</v>
      </c>
      <c r="E125">
        <v>22</v>
      </c>
      <c r="F125" t="s">
        <v>106</v>
      </c>
      <c r="G125">
        <v>2.1800000000000002</v>
      </c>
    </row>
    <row r="126" spans="1:7" hidden="1" outlineLevel="2" x14ac:dyDescent="0.3">
      <c r="A126">
        <v>50</v>
      </c>
      <c r="B126" t="s">
        <v>32</v>
      </c>
      <c r="C126">
        <v>21</v>
      </c>
      <c r="D126" t="s">
        <v>8</v>
      </c>
      <c r="E126">
        <v>22</v>
      </c>
      <c r="F126" t="s">
        <v>106</v>
      </c>
      <c r="G126">
        <v>2.1800000000000002</v>
      </c>
    </row>
    <row r="127" spans="1:7" hidden="1" outlineLevel="2" x14ac:dyDescent="0.3">
      <c r="A127">
        <v>542</v>
      </c>
      <c r="B127" t="s">
        <v>622</v>
      </c>
      <c r="C127">
        <v>17</v>
      </c>
      <c r="D127" t="s">
        <v>8</v>
      </c>
      <c r="E127">
        <v>22</v>
      </c>
      <c r="F127" t="s">
        <v>106</v>
      </c>
      <c r="G127">
        <v>2.1800000000000002</v>
      </c>
    </row>
    <row r="128" spans="1:7" outlineLevel="1" collapsed="1" x14ac:dyDescent="0.3">
      <c r="E128" s="1" t="s">
        <v>1371</v>
      </c>
      <c r="F128" t="str">
        <f>F127</f>
        <v>Amnesia</v>
      </c>
      <c r="G128">
        <f>SUBTOTAL(3,G122:G127)</f>
        <v>6</v>
      </c>
    </row>
    <row r="129" spans="1:7" hidden="1" outlineLevel="2" x14ac:dyDescent="0.3">
      <c r="A129">
        <v>251</v>
      </c>
      <c r="B129" t="s">
        <v>369</v>
      </c>
      <c r="C129">
        <v>22</v>
      </c>
      <c r="D129" t="s">
        <v>8</v>
      </c>
      <c r="E129">
        <v>23</v>
      </c>
      <c r="F129" t="s">
        <v>212</v>
      </c>
      <c r="G129">
        <v>1.99</v>
      </c>
    </row>
    <row r="130" spans="1:7" outlineLevel="1" collapsed="1" x14ac:dyDescent="0.3">
      <c r="E130" s="1" t="s">
        <v>1372</v>
      </c>
      <c r="F130" t="str">
        <f>F129</f>
        <v>Crucifer</v>
      </c>
      <c r="G130">
        <f>SUBTOTAL(3,G129:G129)</f>
        <v>1</v>
      </c>
    </row>
    <row r="131" spans="1:7" hidden="1" outlineLevel="2" x14ac:dyDescent="0.3">
      <c r="A131">
        <v>444</v>
      </c>
      <c r="B131" t="s">
        <v>546</v>
      </c>
      <c r="C131">
        <v>21</v>
      </c>
      <c r="D131" t="s">
        <v>39</v>
      </c>
      <c r="E131">
        <v>24</v>
      </c>
      <c r="F131" t="s">
        <v>54</v>
      </c>
      <c r="G131">
        <v>3.81</v>
      </c>
    </row>
    <row r="132" spans="1:7" hidden="1" outlineLevel="2" x14ac:dyDescent="0.3">
      <c r="A132">
        <v>227</v>
      </c>
      <c r="B132" t="s">
        <v>341</v>
      </c>
      <c r="C132">
        <v>18</v>
      </c>
      <c r="D132" t="s">
        <v>8</v>
      </c>
      <c r="E132">
        <v>24</v>
      </c>
      <c r="F132" t="s">
        <v>54</v>
      </c>
      <c r="G132">
        <v>3.81</v>
      </c>
    </row>
    <row r="133" spans="1:7" hidden="1" outlineLevel="2" x14ac:dyDescent="0.3">
      <c r="A133">
        <v>147</v>
      </c>
      <c r="B133" t="s">
        <v>244</v>
      </c>
      <c r="C133">
        <v>35</v>
      </c>
      <c r="D133" t="s">
        <v>8</v>
      </c>
      <c r="E133">
        <v>24</v>
      </c>
      <c r="F133" t="s">
        <v>54</v>
      </c>
      <c r="G133">
        <v>3.81</v>
      </c>
    </row>
    <row r="134" spans="1:7" hidden="1" outlineLevel="2" x14ac:dyDescent="0.3">
      <c r="A134">
        <v>120</v>
      </c>
      <c r="B134" t="s">
        <v>144</v>
      </c>
      <c r="C134">
        <v>25</v>
      </c>
      <c r="D134" t="s">
        <v>8</v>
      </c>
      <c r="E134">
        <v>24</v>
      </c>
      <c r="F134" t="s">
        <v>54</v>
      </c>
      <c r="G134">
        <v>3.81</v>
      </c>
    </row>
    <row r="135" spans="1:7" hidden="1" outlineLevel="2" x14ac:dyDescent="0.3">
      <c r="A135">
        <v>22</v>
      </c>
      <c r="B135" t="s">
        <v>53</v>
      </c>
      <c r="C135">
        <v>38</v>
      </c>
      <c r="D135" t="s">
        <v>27</v>
      </c>
      <c r="E135">
        <v>24</v>
      </c>
      <c r="F135" t="s">
        <v>54</v>
      </c>
      <c r="G135">
        <v>3.81</v>
      </c>
    </row>
    <row r="136" spans="1:7" outlineLevel="1" collapsed="1" x14ac:dyDescent="0.3">
      <c r="E136" s="1" t="s">
        <v>1373</v>
      </c>
      <c r="F136" t="str">
        <f>F135</f>
        <v>Warped Fetish</v>
      </c>
      <c r="G136">
        <f>SUBTOTAL(3,G131:G135)</f>
        <v>5</v>
      </c>
    </row>
    <row r="137" spans="1:7" hidden="1" outlineLevel="2" x14ac:dyDescent="0.3">
      <c r="A137">
        <v>506</v>
      </c>
      <c r="B137" t="s">
        <v>295</v>
      </c>
      <c r="C137">
        <v>30</v>
      </c>
      <c r="D137" t="s">
        <v>8</v>
      </c>
      <c r="E137">
        <v>25</v>
      </c>
      <c r="F137" t="s">
        <v>114</v>
      </c>
      <c r="G137">
        <v>4.3499999999999996</v>
      </c>
    </row>
    <row r="138" spans="1:7" hidden="1" outlineLevel="2" x14ac:dyDescent="0.3">
      <c r="A138">
        <v>217</v>
      </c>
      <c r="B138" t="s">
        <v>332</v>
      </c>
      <c r="C138">
        <v>38</v>
      </c>
      <c r="D138" t="s">
        <v>8</v>
      </c>
      <c r="E138">
        <v>25</v>
      </c>
      <c r="F138" t="s">
        <v>114</v>
      </c>
      <c r="G138">
        <v>4.3499999999999996</v>
      </c>
    </row>
    <row r="139" spans="1:7" hidden="1" outlineLevel="2" x14ac:dyDescent="0.3">
      <c r="A139">
        <v>473</v>
      </c>
      <c r="B139" t="s">
        <v>572</v>
      </c>
      <c r="C139">
        <v>21</v>
      </c>
      <c r="D139" t="s">
        <v>8</v>
      </c>
      <c r="E139">
        <v>25</v>
      </c>
      <c r="F139" t="s">
        <v>114</v>
      </c>
      <c r="G139">
        <v>4.3499999999999996</v>
      </c>
    </row>
    <row r="140" spans="1:7" hidden="1" outlineLevel="2" x14ac:dyDescent="0.3">
      <c r="A140">
        <v>513</v>
      </c>
      <c r="B140" t="s">
        <v>601</v>
      </c>
      <c r="C140">
        <v>25</v>
      </c>
      <c r="D140" t="s">
        <v>8</v>
      </c>
      <c r="E140">
        <v>25</v>
      </c>
      <c r="F140" t="s">
        <v>114</v>
      </c>
      <c r="G140">
        <v>4.3499999999999996</v>
      </c>
    </row>
    <row r="141" spans="1:7" hidden="1" outlineLevel="2" x14ac:dyDescent="0.3">
      <c r="A141">
        <v>771</v>
      </c>
      <c r="B141" t="s">
        <v>759</v>
      </c>
      <c r="C141">
        <v>16</v>
      </c>
      <c r="D141" t="s">
        <v>8</v>
      </c>
      <c r="E141">
        <v>25</v>
      </c>
      <c r="F141" t="s">
        <v>114</v>
      </c>
      <c r="G141">
        <v>4.3499999999999996</v>
      </c>
    </row>
    <row r="142" spans="1:7" hidden="1" outlineLevel="2" x14ac:dyDescent="0.3">
      <c r="A142">
        <v>54</v>
      </c>
      <c r="B142" t="s">
        <v>113</v>
      </c>
      <c r="C142">
        <v>10</v>
      </c>
      <c r="D142" t="s">
        <v>8</v>
      </c>
      <c r="E142">
        <v>25</v>
      </c>
      <c r="F142" t="s">
        <v>114</v>
      </c>
      <c r="G142">
        <v>4.3499999999999996</v>
      </c>
    </row>
    <row r="143" spans="1:7" outlineLevel="1" collapsed="1" x14ac:dyDescent="0.3">
      <c r="E143" s="1" t="s">
        <v>1374</v>
      </c>
      <c r="F143" t="str">
        <f>F142</f>
        <v>Hero Cane</v>
      </c>
      <c r="G143">
        <f>SUBTOTAL(3,G137:G142)</f>
        <v>6</v>
      </c>
    </row>
    <row r="144" spans="1:7" hidden="1" outlineLevel="2" x14ac:dyDescent="0.3">
      <c r="A144">
        <v>621</v>
      </c>
      <c r="B144" t="s">
        <v>660</v>
      </c>
      <c r="C144">
        <v>20</v>
      </c>
      <c r="D144" t="s">
        <v>8</v>
      </c>
      <c r="E144">
        <v>26</v>
      </c>
      <c r="F144" t="s">
        <v>527</v>
      </c>
      <c r="G144">
        <v>1.1200000000000001</v>
      </c>
    </row>
    <row r="145" spans="1:7" hidden="1" outlineLevel="2" x14ac:dyDescent="0.3">
      <c r="A145">
        <v>421</v>
      </c>
      <c r="B145" t="s">
        <v>126</v>
      </c>
      <c r="C145">
        <v>30</v>
      </c>
      <c r="D145" t="s">
        <v>8</v>
      </c>
      <c r="E145">
        <v>26</v>
      </c>
      <c r="F145" t="s">
        <v>527</v>
      </c>
      <c r="G145">
        <v>1.1200000000000001</v>
      </c>
    </row>
    <row r="146" spans="1:7" outlineLevel="1" collapsed="1" x14ac:dyDescent="0.3">
      <c r="E146" s="1" t="s">
        <v>1375</v>
      </c>
      <c r="F146" t="str">
        <f>F145</f>
        <v>Unholy Wand</v>
      </c>
      <c r="G146">
        <f>SUBTOTAL(3,G144:G145)</f>
        <v>2</v>
      </c>
    </row>
    <row r="147" spans="1:7" hidden="1" outlineLevel="2" x14ac:dyDescent="0.3">
      <c r="A147">
        <v>68</v>
      </c>
      <c r="B147" t="s">
        <v>135</v>
      </c>
      <c r="C147">
        <v>15</v>
      </c>
      <c r="D147" t="s">
        <v>8</v>
      </c>
      <c r="E147">
        <v>27</v>
      </c>
      <c r="F147" t="s">
        <v>136</v>
      </c>
      <c r="G147">
        <v>3.3</v>
      </c>
    </row>
    <row r="148" spans="1:7" outlineLevel="1" collapsed="1" x14ac:dyDescent="0.3">
      <c r="E148" s="1" t="s">
        <v>1376</v>
      </c>
      <c r="F148" t="str">
        <f>F147</f>
        <v>Riddle, Tribute of Ended Dreams</v>
      </c>
      <c r="G148">
        <f>SUBTOTAL(3,G147:G147)</f>
        <v>1</v>
      </c>
    </row>
    <row r="149" spans="1:7" hidden="1" outlineLevel="2" x14ac:dyDescent="0.3">
      <c r="A149">
        <v>253</v>
      </c>
      <c r="B149" t="s">
        <v>215</v>
      </c>
      <c r="C149">
        <v>21</v>
      </c>
      <c r="D149" t="s">
        <v>8</v>
      </c>
      <c r="E149">
        <v>28</v>
      </c>
      <c r="F149" t="s">
        <v>371</v>
      </c>
      <c r="G149">
        <v>1.06</v>
      </c>
    </row>
    <row r="150" spans="1:7" hidden="1" outlineLevel="2" x14ac:dyDescent="0.3">
      <c r="A150">
        <v>681</v>
      </c>
      <c r="B150" t="s">
        <v>708</v>
      </c>
      <c r="C150">
        <v>33</v>
      </c>
      <c r="D150" t="s">
        <v>8</v>
      </c>
      <c r="E150">
        <v>28</v>
      </c>
      <c r="F150" t="s">
        <v>371</v>
      </c>
      <c r="G150">
        <v>1.06</v>
      </c>
    </row>
    <row r="151" spans="1:7" outlineLevel="1" collapsed="1" x14ac:dyDescent="0.3">
      <c r="E151" s="1" t="s">
        <v>1377</v>
      </c>
      <c r="F151" t="str">
        <f>F150</f>
        <v>Flux, Destroyer of Due Diligence</v>
      </c>
      <c r="G151">
        <f>SUBTOTAL(3,G149:G150)</f>
        <v>2</v>
      </c>
    </row>
    <row r="152" spans="1:7" hidden="1" outlineLevel="2" x14ac:dyDescent="0.3">
      <c r="A152">
        <v>71</v>
      </c>
      <c r="B152" t="s">
        <v>139</v>
      </c>
      <c r="C152">
        <v>20</v>
      </c>
      <c r="D152" t="s">
        <v>39</v>
      </c>
      <c r="E152">
        <v>29</v>
      </c>
      <c r="F152" t="s">
        <v>140</v>
      </c>
      <c r="G152">
        <v>1.98</v>
      </c>
    </row>
    <row r="153" spans="1:7" hidden="1" outlineLevel="2" x14ac:dyDescent="0.3">
      <c r="A153">
        <v>507</v>
      </c>
      <c r="B153" t="s">
        <v>597</v>
      </c>
      <c r="C153">
        <v>22</v>
      </c>
      <c r="D153" t="s">
        <v>8</v>
      </c>
      <c r="E153">
        <v>29</v>
      </c>
      <c r="F153" t="s">
        <v>140</v>
      </c>
      <c r="G153">
        <v>1.98</v>
      </c>
    </row>
    <row r="154" spans="1:7" hidden="1" outlineLevel="2" x14ac:dyDescent="0.3">
      <c r="A154">
        <v>385</v>
      </c>
      <c r="B154" t="s">
        <v>498</v>
      </c>
      <c r="C154">
        <v>22</v>
      </c>
      <c r="D154" t="s">
        <v>8</v>
      </c>
      <c r="E154">
        <v>29</v>
      </c>
      <c r="F154" t="s">
        <v>140</v>
      </c>
      <c r="G154">
        <v>1.98</v>
      </c>
    </row>
    <row r="155" spans="1:7" hidden="1" outlineLevel="2" x14ac:dyDescent="0.3">
      <c r="A155">
        <v>624</v>
      </c>
      <c r="B155" t="s">
        <v>633</v>
      </c>
      <c r="C155">
        <v>30</v>
      </c>
      <c r="D155" t="s">
        <v>8</v>
      </c>
      <c r="E155">
        <v>29</v>
      </c>
      <c r="F155" t="s">
        <v>140</v>
      </c>
      <c r="G155">
        <v>1.98</v>
      </c>
    </row>
    <row r="156" spans="1:7" hidden="1" outlineLevel="2" x14ac:dyDescent="0.3">
      <c r="A156">
        <v>688</v>
      </c>
      <c r="B156" t="s">
        <v>485</v>
      </c>
      <c r="C156">
        <v>35</v>
      </c>
      <c r="D156" t="s">
        <v>8</v>
      </c>
      <c r="E156">
        <v>29</v>
      </c>
      <c r="F156" t="s">
        <v>140</v>
      </c>
      <c r="G156">
        <v>1.98</v>
      </c>
    </row>
    <row r="157" spans="1:7" outlineLevel="1" collapsed="1" x14ac:dyDescent="0.3">
      <c r="E157" s="1" t="s">
        <v>1378</v>
      </c>
      <c r="F157" t="str">
        <f>F156</f>
        <v>Chaos, Ender of the End</v>
      </c>
      <c r="G157">
        <f>SUBTOTAL(3,G152:G156)</f>
        <v>5</v>
      </c>
    </row>
    <row r="158" spans="1:7" hidden="1" outlineLevel="2" x14ac:dyDescent="0.3">
      <c r="A158">
        <v>166</v>
      </c>
      <c r="B158" t="s">
        <v>266</v>
      </c>
      <c r="C158">
        <v>22</v>
      </c>
      <c r="D158" t="s">
        <v>39</v>
      </c>
      <c r="E158">
        <v>30</v>
      </c>
      <c r="F158" t="s">
        <v>267</v>
      </c>
      <c r="G158">
        <v>2.21</v>
      </c>
    </row>
    <row r="159" spans="1:7" hidden="1" outlineLevel="2" x14ac:dyDescent="0.3">
      <c r="A159">
        <v>468</v>
      </c>
      <c r="B159" t="s">
        <v>568</v>
      </c>
      <c r="C159">
        <v>23</v>
      </c>
      <c r="D159" t="s">
        <v>8</v>
      </c>
      <c r="E159">
        <v>30</v>
      </c>
      <c r="F159" t="s">
        <v>267</v>
      </c>
      <c r="G159">
        <v>2.21</v>
      </c>
    </row>
    <row r="160" spans="1:7" outlineLevel="1" collapsed="1" x14ac:dyDescent="0.3">
      <c r="E160" s="1" t="s">
        <v>1379</v>
      </c>
      <c r="F160" t="str">
        <f>F159</f>
        <v>Stormcaller</v>
      </c>
      <c r="G160">
        <f>SUBTOTAL(3,G158:G159)</f>
        <v>2</v>
      </c>
    </row>
    <row r="161" spans="1:7" hidden="1" outlineLevel="2" x14ac:dyDescent="0.3">
      <c r="A161">
        <v>566</v>
      </c>
      <c r="B161" t="s">
        <v>636</v>
      </c>
      <c r="C161">
        <v>20</v>
      </c>
      <c r="D161" t="s">
        <v>8</v>
      </c>
      <c r="E161">
        <v>31</v>
      </c>
      <c r="F161" t="s">
        <v>482</v>
      </c>
      <c r="G161">
        <v>1.55</v>
      </c>
    </row>
    <row r="162" spans="1:7" hidden="1" outlineLevel="2" x14ac:dyDescent="0.3">
      <c r="A162">
        <v>366</v>
      </c>
      <c r="B162" t="s">
        <v>194</v>
      </c>
      <c r="C162">
        <v>22</v>
      </c>
      <c r="D162" t="s">
        <v>8</v>
      </c>
      <c r="E162">
        <v>31</v>
      </c>
      <c r="F162" t="s">
        <v>482</v>
      </c>
      <c r="G162">
        <v>1.55</v>
      </c>
    </row>
    <row r="163" spans="1:7" outlineLevel="1" collapsed="1" x14ac:dyDescent="0.3">
      <c r="E163" s="1" t="s">
        <v>1380</v>
      </c>
      <c r="F163" t="str">
        <f>F162</f>
        <v>Trickster</v>
      </c>
      <c r="G163">
        <f>SUBTOTAL(3,G161:G162)</f>
        <v>2</v>
      </c>
    </row>
    <row r="164" spans="1:7" hidden="1" outlineLevel="2" x14ac:dyDescent="0.3">
      <c r="A164">
        <v>184</v>
      </c>
      <c r="B164" t="s">
        <v>292</v>
      </c>
      <c r="C164">
        <v>28</v>
      </c>
      <c r="D164" t="s">
        <v>8</v>
      </c>
      <c r="E164">
        <v>32</v>
      </c>
      <c r="F164" t="s">
        <v>293</v>
      </c>
      <c r="G164">
        <v>1.1399999999999999</v>
      </c>
    </row>
    <row r="165" spans="1:7" hidden="1" outlineLevel="2" x14ac:dyDescent="0.3">
      <c r="A165">
        <v>426</v>
      </c>
      <c r="B165" t="s">
        <v>532</v>
      </c>
      <c r="C165">
        <v>23</v>
      </c>
      <c r="D165" t="s">
        <v>8</v>
      </c>
      <c r="E165">
        <v>32</v>
      </c>
      <c r="F165" t="s">
        <v>293</v>
      </c>
      <c r="G165">
        <v>1.1399999999999999</v>
      </c>
    </row>
    <row r="166" spans="1:7" hidden="1" outlineLevel="2" x14ac:dyDescent="0.3">
      <c r="A166">
        <v>489</v>
      </c>
      <c r="B166" t="s">
        <v>584</v>
      </c>
      <c r="C166">
        <v>28</v>
      </c>
      <c r="D166" t="s">
        <v>8</v>
      </c>
      <c r="E166">
        <v>32</v>
      </c>
      <c r="F166" t="s">
        <v>293</v>
      </c>
      <c r="G166">
        <v>1.1399999999999999</v>
      </c>
    </row>
    <row r="167" spans="1:7" hidden="1" outlineLevel="2" x14ac:dyDescent="0.3">
      <c r="A167">
        <v>452</v>
      </c>
      <c r="B167" t="s">
        <v>512</v>
      </c>
      <c r="C167">
        <v>19</v>
      </c>
      <c r="D167" t="s">
        <v>8</v>
      </c>
      <c r="E167">
        <v>32</v>
      </c>
      <c r="F167" t="s">
        <v>293</v>
      </c>
      <c r="G167">
        <v>1.1399999999999999</v>
      </c>
    </row>
    <row r="168" spans="1:7" hidden="1" outlineLevel="2" x14ac:dyDescent="0.3">
      <c r="A168">
        <v>677</v>
      </c>
      <c r="B168" t="s">
        <v>706</v>
      </c>
      <c r="C168">
        <v>27</v>
      </c>
      <c r="D168" t="s">
        <v>8</v>
      </c>
      <c r="E168">
        <v>32</v>
      </c>
      <c r="F168" t="s">
        <v>293</v>
      </c>
      <c r="G168">
        <v>1.1399999999999999</v>
      </c>
    </row>
    <row r="169" spans="1:7" outlineLevel="1" collapsed="1" x14ac:dyDescent="0.3">
      <c r="E169" s="1" t="s">
        <v>1381</v>
      </c>
      <c r="F169" t="str">
        <f>F168</f>
        <v>Orenmir</v>
      </c>
      <c r="G169">
        <f>SUBTOTAL(3,G164:G168)</f>
        <v>5</v>
      </c>
    </row>
    <row r="170" spans="1:7" hidden="1" outlineLevel="2" x14ac:dyDescent="0.3">
      <c r="A170">
        <v>85</v>
      </c>
      <c r="B170" t="s">
        <v>160</v>
      </c>
      <c r="C170">
        <v>32</v>
      </c>
      <c r="D170" t="s">
        <v>39</v>
      </c>
      <c r="E170">
        <v>33</v>
      </c>
      <c r="F170" t="s">
        <v>161</v>
      </c>
      <c r="G170">
        <v>1.1599999999999999</v>
      </c>
    </row>
    <row r="171" spans="1:7" hidden="1" outlineLevel="2" x14ac:dyDescent="0.3">
      <c r="A171">
        <v>109</v>
      </c>
      <c r="B171" t="s">
        <v>194</v>
      </c>
      <c r="C171">
        <v>22</v>
      </c>
      <c r="D171" t="s">
        <v>8</v>
      </c>
      <c r="E171">
        <v>33</v>
      </c>
      <c r="F171" t="s">
        <v>161</v>
      </c>
      <c r="G171">
        <v>1.1599999999999999</v>
      </c>
    </row>
    <row r="172" spans="1:7" outlineLevel="1" collapsed="1" x14ac:dyDescent="0.3">
      <c r="E172" s="1" t="s">
        <v>1382</v>
      </c>
      <c r="F172" t="str">
        <f>F171</f>
        <v>Curved Axe</v>
      </c>
      <c r="G172">
        <f>SUBTOTAL(3,G170:G171)</f>
        <v>2</v>
      </c>
    </row>
    <row r="173" spans="1:7" hidden="1" outlineLevel="2" x14ac:dyDescent="0.3">
      <c r="A173">
        <v>84</v>
      </c>
      <c r="B173" t="s">
        <v>159</v>
      </c>
      <c r="C173">
        <v>21</v>
      </c>
      <c r="D173" t="s">
        <v>39</v>
      </c>
      <c r="E173">
        <v>34</v>
      </c>
      <c r="F173" t="s">
        <v>132</v>
      </c>
      <c r="G173">
        <v>2.2200000000000002</v>
      </c>
    </row>
    <row r="174" spans="1:7" hidden="1" outlineLevel="2" x14ac:dyDescent="0.3">
      <c r="A174">
        <v>65</v>
      </c>
      <c r="B174" t="s">
        <v>131</v>
      </c>
      <c r="C174">
        <v>25</v>
      </c>
      <c r="D174" t="s">
        <v>8</v>
      </c>
      <c r="E174">
        <v>34</v>
      </c>
      <c r="F174" t="s">
        <v>132</v>
      </c>
      <c r="G174">
        <v>2.2200000000000002</v>
      </c>
    </row>
    <row r="175" spans="1:7" hidden="1" outlineLevel="2" x14ac:dyDescent="0.3">
      <c r="A175">
        <v>449</v>
      </c>
      <c r="B175" t="s">
        <v>549</v>
      </c>
      <c r="C175">
        <v>13</v>
      </c>
      <c r="D175" t="s">
        <v>8</v>
      </c>
      <c r="E175">
        <v>34</v>
      </c>
      <c r="F175" t="s">
        <v>132</v>
      </c>
      <c r="G175">
        <v>2.2200000000000002</v>
      </c>
    </row>
    <row r="176" spans="1:7" hidden="1" outlineLevel="2" x14ac:dyDescent="0.3">
      <c r="A176">
        <v>685</v>
      </c>
      <c r="B176" t="s">
        <v>657</v>
      </c>
      <c r="C176">
        <v>22</v>
      </c>
      <c r="D176" t="s">
        <v>8</v>
      </c>
      <c r="E176">
        <v>34</v>
      </c>
      <c r="F176" t="s">
        <v>132</v>
      </c>
      <c r="G176">
        <v>2.2200000000000002</v>
      </c>
    </row>
    <row r="177" spans="1:7" hidden="1" outlineLevel="2" x14ac:dyDescent="0.3">
      <c r="A177">
        <v>559</v>
      </c>
      <c r="B177" t="s">
        <v>431</v>
      </c>
      <c r="C177">
        <v>23</v>
      </c>
      <c r="D177" t="s">
        <v>8</v>
      </c>
      <c r="E177">
        <v>34</v>
      </c>
      <c r="F177" t="s">
        <v>132</v>
      </c>
      <c r="G177">
        <v>2.2200000000000002</v>
      </c>
    </row>
    <row r="178" spans="1:7" hidden="1" outlineLevel="2" x14ac:dyDescent="0.3">
      <c r="A178">
        <v>576</v>
      </c>
      <c r="B178" t="s">
        <v>642</v>
      </c>
      <c r="C178">
        <v>20</v>
      </c>
      <c r="D178" t="s">
        <v>8</v>
      </c>
      <c r="E178">
        <v>34</v>
      </c>
      <c r="F178" t="s">
        <v>132</v>
      </c>
      <c r="G178">
        <v>2.2200000000000002</v>
      </c>
    </row>
    <row r="179" spans="1:7" hidden="1" outlineLevel="2" x14ac:dyDescent="0.3">
      <c r="A179">
        <v>604</v>
      </c>
      <c r="B179" t="s">
        <v>610</v>
      </c>
      <c r="C179">
        <v>24</v>
      </c>
      <c r="D179" t="s">
        <v>8</v>
      </c>
      <c r="E179">
        <v>34</v>
      </c>
      <c r="F179" t="s">
        <v>132</v>
      </c>
      <c r="G179">
        <v>2.2200000000000002</v>
      </c>
    </row>
    <row r="180" spans="1:7" hidden="1" outlineLevel="2" x14ac:dyDescent="0.3">
      <c r="A180">
        <v>350</v>
      </c>
      <c r="B180" t="s">
        <v>465</v>
      </c>
      <c r="C180">
        <v>15</v>
      </c>
      <c r="D180" t="s">
        <v>27</v>
      </c>
      <c r="E180">
        <v>34</v>
      </c>
      <c r="F180" t="s">
        <v>132</v>
      </c>
      <c r="G180">
        <v>2.2200000000000002</v>
      </c>
    </row>
    <row r="181" spans="1:7" outlineLevel="1" collapsed="1" x14ac:dyDescent="0.3">
      <c r="E181" s="1" t="s">
        <v>1383</v>
      </c>
      <c r="F181" t="str">
        <f>F180</f>
        <v>Retribution Axe</v>
      </c>
      <c r="G181">
        <f>SUBTOTAL(3,G173:G180)</f>
        <v>8</v>
      </c>
    </row>
    <row r="182" spans="1:7" hidden="1" outlineLevel="2" x14ac:dyDescent="0.3">
      <c r="A182">
        <v>516</v>
      </c>
      <c r="B182" t="s">
        <v>603</v>
      </c>
      <c r="C182">
        <v>39</v>
      </c>
      <c r="D182" t="s">
        <v>39</v>
      </c>
      <c r="E182">
        <v>35</v>
      </c>
      <c r="F182" t="s">
        <v>411</v>
      </c>
      <c r="G182">
        <v>3.45</v>
      </c>
    </row>
    <row r="183" spans="1:7" hidden="1" outlineLevel="2" x14ac:dyDescent="0.3">
      <c r="A183">
        <v>478</v>
      </c>
      <c r="B183" t="s">
        <v>266</v>
      </c>
      <c r="C183">
        <v>22</v>
      </c>
      <c r="D183" t="s">
        <v>39</v>
      </c>
      <c r="E183">
        <v>35</v>
      </c>
      <c r="F183" t="s">
        <v>411</v>
      </c>
      <c r="G183">
        <v>3.45</v>
      </c>
    </row>
    <row r="184" spans="1:7" hidden="1" outlineLevel="2" x14ac:dyDescent="0.3">
      <c r="A184">
        <v>450</v>
      </c>
      <c r="B184" t="s">
        <v>550</v>
      </c>
      <c r="C184">
        <v>18</v>
      </c>
      <c r="D184" t="s">
        <v>39</v>
      </c>
      <c r="E184">
        <v>35</v>
      </c>
      <c r="F184" t="s">
        <v>411</v>
      </c>
      <c r="G184">
        <v>3.45</v>
      </c>
    </row>
    <row r="185" spans="1:7" hidden="1" outlineLevel="2" x14ac:dyDescent="0.3">
      <c r="A185">
        <v>561</v>
      </c>
      <c r="B185" t="s">
        <v>597</v>
      </c>
      <c r="C185">
        <v>22</v>
      </c>
      <c r="D185" t="s">
        <v>8</v>
      </c>
      <c r="E185">
        <v>35</v>
      </c>
      <c r="F185" t="s">
        <v>411</v>
      </c>
      <c r="G185">
        <v>3.45</v>
      </c>
    </row>
    <row r="186" spans="1:7" hidden="1" outlineLevel="2" x14ac:dyDescent="0.3">
      <c r="A186">
        <v>291</v>
      </c>
      <c r="B186" t="s">
        <v>353</v>
      </c>
      <c r="C186">
        <v>20</v>
      </c>
      <c r="D186" t="s">
        <v>27</v>
      </c>
      <c r="E186">
        <v>35</v>
      </c>
      <c r="F186" t="s">
        <v>411</v>
      </c>
      <c r="G186">
        <v>3.45</v>
      </c>
    </row>
    <row r="187" spans="1:7" outlineLevel="1" collapsed="1" x14ac:dyDescent="0.3">
      <c r="E187" s="1" t="s">
        <v>1384</v>
      </c>
      <c r="F187" t="str">
        <f>F186</f>
        <v>Heartless Bone Dualblade</v>
      </c>
      <c r="G187">
        <f>SUBTOTAL(3,G182:G186)</f>
        <v>5</v>
      </c>
    </row>
    <row r="188" spans="1:7" hidden="1" outlineLevel="2" x14ac:dyDescent="0.3">
      <c r="A188">
        <v>357</v>
      </c>
      <c r="B188" t="s">
        <v>472</v>
      </c>
      <c r="C188">
        <v>23</v>
      </c>
      <c r="D188" t="s">
        <v>39</v>
      </c>
      <c r="E188">
        <v>37</v>
      </c>
      <c r="F188" t="s">
        <v>68</v>
      </c>
      <c r="G188">
        <v>3.16</v>
      </c>
    </row>
    <row r="189" spans="1:7" hidden="1" outlineLevel="2" x14ac:dyDescent="0.3">
      <c r="A189">
        <v>745</v>
      </c>
      <c r="B189" t="s">
        <v>747</v>
      </c>
      <c r="C189">
        <v>39</v>
      </c>
      <c r="D189" t="s">
        <v>8</v>
      </c>
      <c r="E189">
        <v>37</v>
      </c>
      <c r="F189" t="s">
        <v>68</v>
      </c>
      <c r="G189">
        <v>3.16</v>
      </c>
    </row>
    <row r="190" spans="1:7" hidden="1" outlineLevel="2" x14ac:dyDescent="0.3">
      <c r="A190">
        <v>314</v>
      </c>
      <c r="B190" t="s">
        <v>432</v>
      </c>
      <c r="C190">
        <v>24</v>
      </c>
      <c r="D190" t="s">
        <v>8</v>
      </c>
      <c r="E190">
        <v>37</v>
      </c>
      <c r="F190" t="s">
        <v>68</v>
      </c>
      <c r="G190">
        <v>3.16</v>
      </c>
    </row>
    <row r="191" spans="1:7" hidden="1" outlineLevel="2" x14ac:dyDescent="0.3">
      <c r="A191">
        <v>69</v>
      </c>
      <c r="B191" t="s">
        <v>137</v>
      </c>
      <c r="C191">
        <v>24</v>
      </c>
      <c r="D191" t="s">
        <v>8</v>
      </c>
      <c r="E191">
        <v>37</v>
      </c>
      <c r="F191" t="s">
        <v>68</v>
      </c>
      <c r="G191">
        <v>3.16</v>
      </c>
    </row>
    <row r="192" spans="1:7" hidden="1" outlineLevel="2" x14ac:dyDescent="0.3">
      <c r="A192">
        <v>244</v>
      </c>
      <c r="B192" t="s">
        <v>364</v>
      </c>
      <c r="C192">
        <v>24</v>
      </c>
      <c r="D192" t="s">
        <v>8</v>
      </c>
      <c r="E192">
        <v>37</v>
      </c>
      <c r="F192" t="s">
        <v>68</v>
      </c>
      <c r="G192">
        <v>3.16</v>
      </c>
    </row>
    <row r="193" spans="1:7" hidden="1" outlineLevel="2" x14ac:dyDescent="0.3">
      <c r="A193">
        <v>197</v>
      </c>
      <c r="B193" t="s">
        <v>311</v>
      </c>
      <c r="C193">
        <v>24</v>
      </c>
      <c r="D193" t="s">
        <v>8</v>
      </c>
      <c r="E193">
        <v>37</v>
      </c>
      <c r="F193" t="s">
        <v>68</v>
      </c>
      <c r="G193">
        <v>3.16</v>
      </c>
    </row>
    <row r="194" spans="1:7" hidden="1" outlineLevel="2" x14ac:dyDescent="0.3">
      <c r="A194">
        <v>322</v>
      </c>
      <c r="B194" t="s">
        <v>439</v>
      </c>
      <c r="C194">
        <v>18</v>
      </c>
      <c r="D194" t="s">
        <v>8</v>
      </c>
      <c r="E194">
        <v>37</v>
      </c>
      <c r="F194" t="s">
        <v>68</v>
      </c>
      <c r="G194">
        <v>3.16</v>
      </c>
    </row>
    <row r="195" spans="1:7" hidden="1" outlineLevel="2" x14ac:dyDescent="0.3">
      <c r="A195">
        <v>29</v>
      </c>
      <c r="B195" t="s">
        <v>67</v>
      </c>
      <c r="C195">
        <v>24</v>
      </c>
      <c r="D195" t="s">
        <v>8</v>
      </c>
      <c r="E195">
        <v>37</v>
      </c>
      <c r="F195" t="s">
        <v>68</v>
      </c>
      <c r="G195">
        <v>3.16</v>
      </c>
    </row>
    <row r="196" spans="1:7" outlineLevel="1" collapsed="1" x14ac:dyDescent="0.3">
      <c r="E196" s="1" t="s">
        <v>1385</v>
      </c>
      <c r="F196" t="str">
        <f>F195</f>
        <v>Shadow Strike, Glory of Ending Hope</v>
      </c>
      <c r="G196">
        <f>SUBTOTAL(3,G188:G195)</f>
        <v>8</v>
      </c>
    </row>
    <row r="197" spans="1:7" hidden="1" outlineLevel="2" x14ac:dyDescent="0.3">
      <c r="A197">
        <v>306</v>
      </c>
      <c r="B197" t="s">
        <v>424</v>
      </c>
      <c r="C197">
        <v>24</v>
      </c>
      <c r="D197" t="s">
        <v>39</v>
      </c>
      <c r="E197">
        <v>38</v>
      </c>
      <c r="F197" t="s">
        <v>425</v>
      </c>
      <c r="G197">
        <v>2.37</v>
      </c>
    </row>
    <row r="198" spans="1:7" hidden="1" outlineLevel="2" x14ac:dyDescent="0.3">
      <c r="A198">
        <v>348</v>
      </c>
      <c r="B198" t="s">
        <v>406</v>
      </c>
      <c r="C198">
        <v>18</v>
      </c>
      <c r="D198" t="s">
        <v>8</v>
      </c>
      <c r="E198">
        <v>38</v>
      </c>
      <c r="F198" t="s">
        <v>425</v>
      </c>
      <c r="G198">
        <v>2.37</v>
      </c>
    </row>
    <row r="199" spans="1:7" hidden="1" outlineLevel="2" x14ac:dyDescent="0.3">
      <c r="A199">
        <v>707</v>
      </c>
      <c r="B199" t="s">
        <v>724</v>
      </c>
      <c r="C199">
        <v>20</v>
      </c>
      <c r="D199" t="s">
        <v>8</v>
      </c>
      <c r="E199">
        <v>38</v>
      </c>
      <c r="F199" t="s">
        <v>425</v>
      </c>
      <c r="G199">
        <v>2.37</v>
      </c>
    </row>
    <row r="200" spans="1:7" hidden="1" outlineLevel="2" x14ac:dyDescent="0.3">
      <c r="A200">
        <v>342</v>
      </c>
      <c r="B200" t="s">
        <v>459</v>
      </c>
      <c r="C200">
        <v>21</v>
      </c>
      <c r="D200" t="s">
        <v>8</v>
      </c>
      <c r="E200">
        <v>38</v>
      </c>
      <c r="F200" t="s">
        <v>425</v>
      </c>
      <c r="G200">
        <v>2.37</v>
      </c>
    </row>
    <row r="201" spans="1:7" outlineLevel="1" collapsed="1" x14ac:dyDescent="0.3">
      <c r="E201" s="1" t="s">
        <v>1386</v>
      </c>
      <c r="F201" t="str">
        <f>F200</f>
        <v>The Void, Vengeance of Dark Magic</v>
      </c>
      <c r="G201">
        <f>SUBTOTAL(3,G197:G200)</f>
        <v>4</v>
      </c>
    </row>
    <row r="202" spans="1:7" hidden="1" outlineLevel="2" x14ac:dyDescent="0.3">
      <c r="A202">
        <v>92</v>
      </c>
      <c r="B202" t="s">
        <v>170</v>
      </c>
      <c r="C202">
        <v>21</v>
      </c>
      <c r="D202" t="s">
        <v>39</v>
      </c>
      <c r="E202">
        <v>39</v>
      </c>
      <c r="F202" t="s">
        <v>171</v>
      </c>
      <c r="G202">
        <v>3.94</v>
      </c>
    </row>
    <row r="203" spans="1:7" hidden="1" outlineLevel="2" x14ac:dyDescent="0.3">
      <c r="A203">
        <v>387</v>
      </c>
      <c r="B203" t="s">
        <v>500</v>
      </c>
      <c r="C203">
        <v>26</v>
      </c>
      <c r="D203" t="s">
        <v>8</v>
      </c>
      <c r="E203">
        <v>39</v>
      </c>
      <c r="F203" t="s">
        <v>171</v>
      </c>
      <c r="G203">
        <v>3.94</v>
      </c>
    </row>
    <row r="204" spans="1:7" hidden="1" outlineLevel="2" x14ac:dyDescent="0.3">
      <c r="A204">
        <v>159</v>
      </c>
      <c r="B204" t="s">
        <v>257</v>
      </c>
      <c r="C204">
        <v>25</v>
      </c>
      <c r="D204" t="s">
        <v>8</v>
      </c>
      <c r="E204">
        <v>39</v>
      </c>
      <c r="F204" t="s">
        <v>171</v>
      </c>
      <c r="G204">
        <v>3.94</v>
      </c>
    </row>
    <row r="205" spans="1:7" hidden="1" outlineLevel="2" x14ac:dyDescent="0.3">
      <c r="A205">
        <v>484</v>
      </c>
      <c r="B205" t="s">
        <v>26</v>
      </c>
      <c r="C205">
        <v>35</v>
      </c>
      <c r="D205" t="s">
        <v>27</v>
      </c>
      <c r="E205">
        <v>39</v>
      </c>
      <c r="F205" t="s">
        <v>171</v>
      </c>
      <c r="G205">
        <v>3.94</v>
      </c>
    </row>
    <row r="206" spans="1:7" hidden="1" outlineLevel="2" x14ac:dyDescent="0.3">
      <c r="A206">
        <v>242</v>
      </c>
      <c r="B206" t="s">
        <v>361</v>
      </c>
      <c r="C206">
        <v>16</v>
      </c>
      <c r="D206" t="s">
        <v>27</v>
      </c>
      <c r="E206">
        <v>39</v>
      </c>
      <c r="F206" t="s">
        <v>171</v>
      </c>
      <c r="G206">
        <v>3.94</v>
      </c>
    </row>
    <row r="207" spans="1:7" outlineLevel="1" collapsed="1" x14ac:dyDescent="0.3">
      <c r="E207" s="1" t="s">
        <v>1387</v>
      </c>
      <c r="F207" t="str">
        <f>F206</f>
        <v>Betrayal, Whisper of Grieving Widows</v>
      </c>
      <c r="G207">
        <f>SUBTOTAL(3,G202:G206)</f>
        <v>5</v>
      </c>
    </row>
    <row r="208" spans="1:7" hidden="1" outlineLevel="2" x14ac:dyDescent="0.3">
      <c r="A208">
        <v>215</v>
      </c>
      <c r="B208" t="s">
        <v>313</v>
      </c>
      <c r="C208">
        <v>15</v>
      </c>
      <c r="D208" t="s">
        <v>39</v>
      </c>
      <c r="E208">
        <v>40</v>
      </c>
      <c r="F208" t="s">
        <v>42</v>
      </c>
      <c r="G208">
        <v>2.52</v>
      </c>
    </row>
    <row r="209" spans="1:7" hidden="1" outlineLevel="2" x14ac:dyDescent="0.3">
      <c r="A209">
        <v>617</v>
      </c>
      <c r="B209" t="s">
        <v>319</v>
      </c>
      <c r="C209">
        <v>16</v>
      </c>
      <c r="D209" t="s">
        <v>8</v>
      </c>
      <c r="E209">
        <v>40</v>
      </c>
      <c r="F209" t="s">
        <v>42</v>
      </c>
      <c r="G209">
        <v>2.52</v>
      </c>
    </row>
    <row r="210" spans="1:7" hidden="1" outlineLevel="2" x14ac:dyDescent="0.3">
      <c r="A210">
        <v>668</v>
      </c>
      <c r="B210" t="s">
        <v>700</v>
      </c>
      <c r="C210">
        <v>15</v>
      </c>
      <c r="D210" t="s">
        <v>8</v>
      </c>
      <c r="E210">
        <v>40</v>
      </c>
      <c r="F210" t="s">
        <v>42</v>
      </c>
      <c r="G210">
        <v>2.52</v>
      </c>
    </row>
    <row r="211" spans="1:7" hidden="1" outlineLevel="2" x14ac:dyDescent="0.3">
      <c r="A211">
        <v>515</v>
      </c>
      <c r="B211" t="s">
        <v>75</v>
      </c>
      <c r="C211">
        <v>7</v>
      </c>
      <c r="D211" t="s">
        <v>8</v>
      </c>
      <c r="E211">
        <v>40</v>
      </c>
      <c r="F211" t="s">
        <v>42</v>
      </c>
      <c r="G211">
        <v>2.52</v>
      </c>
    </row>
    <row r="212" spans="1:7" hidden="1" outlineLevel="2" x14ac:dyDescent="0.3">
      <c r="A212">
        <v>16</v>
      </c>
      <c r="B212" t="s">
        <v>41</v>
      </c>
      <c r="C212">
        <v>20</v>
      </c>
      <c r="D212" t="s">
        <v>8</v>
      </c>
      <c r="E212">
        <v>40</v>
      </c>
      <c r="F212" t="s">
        <v>42</v>
      </c>
      <c r="G212">
        <v>2.52</v>
      </c>
    </row>
    <row r="213" spans="1:7" hidden="1" outlineLevel="2" x14ac:dyDescent="0.3">
      <c r="A213">
        <v>609</v>
      </c>
      <c r="B213" t="s">
        <v>144</v>
      </c>
      <c r="C213">
        <v>25</v>
      </c>
      <c r="D213" t="s">
        <v>8</v>
      </c>
      <c r="E213">
        <v>40</v>
      </c>
      <c r="F213" t="s">
        <v>42</v>
      </c>
      <c r="G213">
        <v>2.52</v>
      </c>
    </row>
    <row r="214" spans="1:7" outlineLevel="1" collapsed="1" x14ac:dyDescent="0.3">
      <c r="E214" s="1" t="s">
        <v>1388</v>
      </c>
      <c r="F214" t="str">
        <f>F213</f>
        <v>Second Chance</v>
      </c>
      <c r="G214">
        <f>SUBTOTAL(3,G208:G213)</f>
        <v>6</v>
      </c>
    </row>
    <row r="215" spans="1:7" hidden="1" outlineLevel="2" x14ac:dyDescent="0.3">
      <c r="A215">
        <v>267</v>
      </c>
      <c r="B215" t="s">
        <v>383</v>
      </c>
      <c r="C215">
        <v>16</v>
      </c>
      <c r="D215" t="s">
        <v>39</v>
      </c>
      <c r="E215">
        <v>41</v>
      </c>
      <c r="F215" t="s">
        <v>198</v>
      </c>
      <c r="G215">
        <v>4.75</v>
      </c>
    </row>
    <row r="216" spans="1:7" hidden="1" outlineLevel="2" x14ac:dyDescent="0.3">
      <c r="A216">
        <v>340</v>
      </c>
      <c r="B216" t="s">
        <v>457</v>
      </c>
      <c r="C216">
        <v>22</v>
      </c>
      <c r="D216" t="s">
        <v>8</v>
      </c>
      <c r="E216">
        <v>41</v>
      </c>
      <c r="F216" t="s">
        <v>198</v>
      </c>
      <c r="G216">
        <v>4.75</v>
      </c>
    </row>
    <row r="217" spans="1:7" hidden="1" outlineLevel="2" x14ac:dyDescent="0.3">
      <c r="A217">
        <v>111</v>
      </c>
      <c r="B217" t="s">
        <v>197</v>
      </c>
      <c r="C217">
        <v>21</v>
      </c>
      <c r="D217" t="s">
        <v>27</v>
      </c>
      <c r="E217">
        <v>41</v>
      </c>
      <c r="F217" t="s">
        <v>198</v>
      </c>
      <c r="G217">
        <v>4.75</v>
      </c>
    </row>
    <row r="218" spans="1:7" outlineLevel="1" collapsed="1" x14ac:dyDescent="0.3">
      <c r="E218" s="1" t="s">
        <v>1389</v>
      </c>
      <c r="F218" t="str">
        <f>F217</f>
        <v>Orbit</v>
      </c>
      <c r="G218">
        <f>SUBTOTAL(3,G215:G217)</f>
        <v>3</v>
      </c>
    </row>
    <row r="219" spans="1:7" hidden="1" outlineLevel="2" x14ac:dyDescent="0.3">
      <c r="A219">
        <v>238</v>
      </c>
      <c r="B219" t="s">
        <v>355</v>
      </c>
      <c r="C219">
        <v>21</v>
      </c>
      <c r="D219" t="s">
        <v>8</v>
      </c>
      <c r="E219">
        <v>42</v>
      </c>
      <c r="F219" t="s">
        <v>356</v>
      </c>
      <c r="G219">
        <v>1.75</v>
      </c>
    </row>
    <row r="220" spans="1:7" outlineLevel="1" collapsed="1" x14ac:dyDescent="0.3">
      <c r="E220" s="1" t="s">
        <v>1390</v>
      </c>
      <c r="F220" t="str">
        <f>F219</f>
        <v>The Decapitator</v>
      </c>
      <c r="G220">
        <f>SUBTOTAL(3,G219:G219)</f>
        <v>1</v>
      </c>
    </row>
    <row r="221" spans="1:7" hidden="1" outlineLevel="2" x14ac:dyDescent="0.3">
      <c r="A221">
        <v>437</v>
      </c>
      <c r="B221" t="s">
        <v>540</v>
      </c>
      <c r="C221">
        <v>24</v>
      </c>
      <c r="D221" t="s">
        <v>39</v>
      </c>
      <c r="E221">
        <v>43</v>
      </c>
      <c r="F221" t="s">
        <v>481</v>
      </c>
      <c r="G221">
        <v>3.54</v>
      </c>
    </row>
    <row r="222" spans="1:7" hidden="1" outlineLevel="2" x14ac:dyDescent="0.3">
      <c r="A222">
        <v>365</v>
      </c>
      <c r="B222" t="s">
        <v>480</v>
      </c>
      <c r="C222">
        <v>25</v>
      </c>
      <c r="D222" t="s">
        <v>8</v>
      </c>
      <c r="E222">
        <v>43</v>
      </c>
      <c r="F222" t="s">
        <v>481</v>
      </c>
      <c r="G222">
        <v>3.54</v>
      </c>
    </row>
    <row r="223" spans="1:7" outlineLevel="1" collapsed="1" x14ac:dyDescent="0.3">
      <c r="E223" s="1" t="s">
        <v>1391</v>
      </c>
      <c r="F223" t="str">
        <f>F222</f>
        <v>Foul Edge</v>
      </c>
      <c r="G223">
        <f>SUBTOTAL(3,G221:G222)</f>
        <v>2</v>
      </c>
    </row>
    <row r="224" spans="1:7" hidden="1" outlineLevel="2" x14ac:dyDescent="0.3">
      <c r="A224">
        <v>760</v>
      </c>
      <c r="B224" t="s">
        <v>720</v>
      </c>
      <c r="C224">
        <v>21</v>
      </c>
      <c r="D224" t="s">
        <v>8</v>
      </c>
      <c r="E224">
        <v>44</v>
      </c>
      <c r="F224" t="s">
        <v>76</v>
      </c>
      <c r="G224">
        <v>2.38</v>
      </c>
    </row>
    <row r="225" spans="1:7" hidden="1" outlineLevel="2" x14ac:dyDescent="0.3">
      <c r="A225">
        <v>33</v>
      </c>
      <c r="B225" t="s">
        <v>75</v>
      </c>
      <c r="C225">
        <v>7</v>
      </c>
      <c r="D225" t="s">
        <v>8</v>
      </c>
      <c r="E225">
        <v>44</v>
      </c>
      <c r="F225" t="s">
        <v>76</v>
      </c>
      <c r="G225">
        <v>2.38</v>
      </c>
    </row>
    <row r="226" spans="1:7" hidden="1" outlineLevel="2" x14ac:dyDescent="0.3">
      <c r="A226">
        <v>160</v>
      </c>
      <c r="B226" t="s">
        <v>258</v>
      </c>
      <c r="C226">
        <v>24</v>
      </c>
      <c r="D226" t="s">
        <v>8</v>
      </c>
      <c r="E226">
        <v>44</v>
      </c>
      <c r="F226" t="s">
        <v>76</v>
      </c>
      <c r="G226">
        <v>2.38</v>
      </c>
    </row>
    <row r="227" spans="1:7" hidden="1" outlineLevel="2" x14ac:dyDescent="0.3">
      <c r="A227">
        <v>488</v>
      </c>
      <c r="B227" t="s">
        <v>583</v>
      </c>
      <c r="C227">
        <v>23</v>
      </c>
      <c r="D227" t="s">
        <v>8</v>
      </c>
      <c r="E227">
        <v>44</v>
      </c>
      <c r="F227" t="s">
        <v>76</v>
      </c>
      <c r="G227">
        <v>2.38</v>
      </c>
    </row>
    <row r="228" spans="1:7" hidden="1" outlineLevel="2" x14ac:dyDescent="0.3">
      <c r="A228">
        <v>60</v>
      </c>
      <c r="B228" t="s">
        <v>124</v>
      </c>
      <c r="C228">
        <v>34</v>
      </c>
      <c r="D228" t="s">
        <v>8</v>
      </c>
      <c r="E228">
        <v>44</v>
      </c>
      <c r="F228" t="s">
        <v>76</v>
      </c>
      <c r="G228">
        <v>2.38</v>
      </c>
    </row>
    <row r="229" spans="1:7" outlineLevel="1" collapsed="1" x14ac:dyDescent="0.3">
      <c r="E229" s="1" t="s">
        <v>1392</v>
      </c>
      <c r="F229" t="str">
        <f>F228</f>
        <v>Bonecarvin Battle Axe</v>
      </c>
      <c r="G229">
        <f>SUBTOTAL(3,G224:G228)</f>
        <v>5</v>
      </c>
    </row>
    <row r="230" spans="1:7" hidden="1" outlineLevel="2" x14ac:dyDescent="0.3">
      <c r="A230">
        <v>336</v>
      </c>
      <c r="B230" t="s">
        <v>452</v>
      </c>
      <c r="C230">
        <v>22</v>
      </c>
      <c r="D230" t="s">
        <v>39</v>
      </c>
      <c r="E230">
        <v>45</v>
      </c>
      <c r="F230" t="s">
        <v>453</v>
      </c>
      <c r="G230">
        <v>3.85</v>
      </c>
    </row>
    <row r="231" spans="1:7" hidden="1" outlineLevel="2" x14ac:dyDescent="0.3">
      <c r="A231">
        <v>363</v>
      </c>
      <c r="B231" t="s">
        <v>157</v>
      </c>
      <c r="C231">
        <v>25</v>
      </c>
      <c r="D231" t="s">
        <v>8</v>
      </c>
      <c r="E231">
        <v>45</v>
      </c>
      <c r="F231" t="s">
        <v>453</v>
      </c>
      <c r="G231">
        <v>3.85</v>
      </c>
    </row>
    <row r="232" spans="1:7" hidden="1" outlineLevel="2" x14ac:dyDescent="0.3">
      <c r="A232">
        <v>370</v>
      </c>
      <c r="B232" t="s">
        <v>69</v>
      </c>
      <c r="C232">
        <v>19</v>
      </c>
      <c r="D232" t="s">
        <v>8</v>
      </c>
      <c r="E232">
        <v>45</v>
      </c>
      <c r="F232" t="s">
        <v>453</v>
      </c>
      <c r="G232">
        <v>3.85</v>
      </c>
    </row>
    <row r="233" spans="1:7" hidden="1" outlineLevel="2" x14ac:dyDescent="0.3">
      <c r="A233">
        <v>669</v>
      </c>
      <c r="B233" t="s">
        <v>701</v>
      </c>
      <c r="C233">
        <v>22</v>
      </c>
      <c r="D233" t="s">
        <v>8</v>
      </c>
      <c r="E233">
        <v>45</v>
      </c>
      <c r="F233" t="s">
        <v>453</v>
      </c>
      <c r="G233">
        <v>3.85</v>
      </c>
    </row>
    <row r="234" spans="1:7" outlineLevel="1" collapsed="1" x14ac:dyDescent="0.3">
      <c r="E234" s="1" t="s">
        <v>1393</v>
      </c>
      <c r="F234" t="str">
        <f>F233</f>
        <v>Glinting Glass Edge</v>
      </c>
      <c r="G234">
        <f>SUBTOTAL(3,G230:G233)</f>
        <v>4</v>
      </c>
    </row>
    <row r="235" spans="1:7" hidden="1" outlineLevel="2" x14ac:dyDescent="0.3">
      <c r="A235">
        <v>524</v>
      </c>
      <c r="B235" t="s">
        <v>608</v>
      </c>
      <c r="C235">
        <v>25</v>
      </c>
      <c r="D235" t="s">
        <v>39</v>
      </c>
      <c r="E235">
        <v>46</v>
      </c>
      <c r="F235" t="s">
        <v>243</v>
      </c>
      <c r="G235">
        <v>1.33</v>
      </c>
    </row>
    <row r="236" spans="1:7" hidden="1" outlineLevel="2" x14ac:dyDescent="0.3">
      <c r="A236">
        <v>145</v>
      </c>
      <c r="B236" t="s">
        <v>242</v>
      </c>
      <c r="C236">
        <v>23</v>
      </c>
      <c r="D236" t="s">
        <v>8</v>
      </c>
      <c r="E236">
        <v>46</v>
      </c>
      <c r="F236" t="s">
        <v>243</v>
      </c>
      <c r="G236">
        <v>1.33</v>
      </c>
    </row>
    <row r="237" spans="1:7" hidden="1" outlineLevel="2" x14ac:dyDescent="0.3">
      <c r="A237">
        <v>713</v>
      </c>
      <c r="B237" t="s">
        <v>369</v>
      </c>
      <c r="C237">
        <v>22</v>
      </c>
      <c r="D237" t="s">
        <v>8</v>
      </c>
      <c r="E237">
        <v>46</v>
      </c>
      <c r="F237" t="s">
        <v>243</v>
      </c>
      <c r="G237">
        <v>1.33</v>
      </c>
    </row>
    <row r="238" spans="1:7" hidden="1" outlineLevel="2" x14ac:dyDescent="0.3">
      <c r="A238">
        <v>220</v>
      </c>
      <c r="B238" t="s">
        <v>335</v>
      </c>
      <c r="C238">
        <v>40</v>
      </c>
      <c r="D238" t="s">
        <v>8</v>
      </c>
      <c r="E238">
        <v>46</v>
      </c>
      <c r="F238" t="s">
        <v>243</v>
      </c>
      <c r="G238">
        <v>1.33</v>
      </c>
    </row>
    <row r="239" spans="1:7" hidden="1" outlineLevel="2" x14ac:dyDescent="0.3">
      <c r="A239">
        <v>401</v>
      </c>
      <c r="B239" t="s">
        <v>513</v>
      </c>
      <c r="C239">
        <v>15</v>
      </c>
      <c r="D239" t="s">
        <v>27</v>
      </c>
      <c r="E239">
        <v>46</v>
      </c>
      <c r="F239" t="s">
        <v>243</v>
      </c>
      <c r="G239">
        <v>1.33</v>
      </c>
    </row>
    <row r="240" spans="1:7" outlineLevel="1" collapsed="1" x14ac:dyDescent="0.3">
      <c r="E240" s="1" t="s">
        <v>1394</v>
      </c>
      <c r="F240" t="str">
        <f>F239</f>
        <v>Hopeless Ebon Dualblade</v>
      </c>
      <c r="G240">
        <f>SUBTOTAL(3,G235:G239)</f>
        <v>5</v>
      </c>
    </row>
    <row r="241" spans="1:7" hidden="1" outlineLevel="2" x14ac:dyDescent="0.3">
      <c r="A241">
        <v>664</v>
      </c>
      <c r="B241" t="s">
        <v>695</v>
      </c>
      <c r="C241">
        <v>31</v>
      </c>
      <c r="D241" t="s">
        <v>8</v>
      </c>
      <c r="E241">
        <v>47</v>
      </c>
      <c r="F241" t="s">
        <v>696</v>
      </c>
      <c r="G241">
        <v>3.58</v>
      </c>
    </row>
    <row r="242" spans="1:7" outlineLevel="1" collapsed="1" x14ac:dyDescent="0.3">
      <c r="E242" s="1" t="s">
        <v>1395</v>
      </c>
      <c r="F242" t="str">
        <f>F241</f>
        <v>Alpha, Reach of Ending Hope</v>
      </c>
      <c r="G242">
        <f>SUBTOTAL(3,G241:G241)</f>
        <v>1</v>
      </c>
    </row>
    <row r="243" spans="1:7" hidden="1" outlineLevel="2" x14ac:dyDescent="0.3">
      <c r="A243">
        <v>463</v>
      </c>
      <c r="B243" t="s">
        <v>419</v>
      </c>
      <c r="C243">
        <v>25</v>
      </c>
      <c r="D243" t="s">
        <v>8</v>
      </c>
      <c r="E243">
        <v>48</v>
      </c>
      <c r="F243" t="s">
        <v>563</v>
      </c>
      <c r="G243">
        <v>2.48</v>
      </c>
    </row>
    <row r="244" spans="1:7" hidden="1" outlineLevel="2" x14ac:dyDescent="0.3">
      <c r="A244">
        <v>533</v>
      </c>
      <c r="B244" t="s">
        <v>462</v>
      </c>
      <c r="C244">
        <v>19</v>
      </c>
      <c r="D244" t="s">
        <v>8</v>
      </c>
      <c r="E244">
        <v>48</v>
      </c>
      <c r="F244" t="s">
        <v>563</v>
      </c>
      <c r="G244">
        <v>2.48</v>
      </c>
    </row>
    <row r="245" spans="1:7" outlineLevel="1" collapsed="1" x14ac:dyDescent="0.3">
      <c r="E245" s="1" t="s">
        <v>1396</v>
      </c>
      <c r="F245" t="str">
        <f>F244</f>
        <v>Rage, Legacy of the Lone Victor</v>
      </c>
      <c r="G245">
        <f>SUBTOTAL(3,G243:G244)</f>
        <v>2</v>
      </c>
    </row>
    <row r="246" spans="1:7" hidden="1" outlineLevel="2" x14ac:dyDescent="0.3">
      <c r="A246">
        <v>641</v>
      </c>
      <c r="B246" t="s">
        <v>679</v>
      </c>
      <c r="C246">
        <v>20</v>
      </c>
      <c r="D246" t="s">
        <v>39</v>
      </c>
      <c r="E246">
        <v>49</v>
      </c>
      <c r="F246" t="s">
        <v>460</v>
      </c>
      <c r="G246">
        <v>2.96</v>
      </c>
    </row>
    <row r="247" spans="1:7" hidden="1" outlineLevel="2" x14ac:dyDescent="0.3">
      <c r="A247">
        <v>583</v>
      </c>
      <c r="B247" t="s">
        <v>646</v>
      </c>
      <c r="C247">
        <v>20</v>
      </c>
      <c r="D247" t="s">
        <v>8</v>
      </c>
      <c r="E247">
        <v>49</v>
      </c>
      <c r="F247" t="s">
        <v>460</v>
      </c>
      <c r="G247">
        <v>2.96</v>
      </c>
    </row>
    <row r="248" spans="1:7" hidden="1" outlineLevel="2" x14ac:dyDescent="0.3">
      <c r="A248">
        <v>343</v>
      </c>
      <c r="B248" t="s">
        <v>446</v>
      </c>
      <c r="C248">
        <v>23</v>
      </c>
      <c r="D248" t="s">
        <v>8</v>
      </c>
      <c r="E248">
        <v>49</v>
      </c>
      <c r="F248" t="s">
        <v>460</v>
      </c>
      <c r="G248">
        <v>2.96</v>
      </c>
    </row>
    <row r="249" spans="1:7" outlineLevel="1" collapsed="1" x14ac:dyDescent="0.3">
      <c r="E249" s="1" t="s">
        <v>1397</v>
      </c>
      <c r="F249" t="str">
        <f>F248</f>
        <v>The Oculus, Token of Lost Worlds</v>
      </c>
      <c r="G249">
        <f>SUBTOTAL(3,G246:G248)</f>
        <v>3</v>
      </c>
    </row>
    <row r="250" spans="1:7" hidden="1" outlineLevel="2" x14ac:dyDescent="0.3">
      <c r="A250">
        <v>779</v>
      </c>
      <c r="B250" t="s">
        <v>561</v>
      </c>
      <c r="C250">
        <v>24</v>
      </c>
      <c r="D250" t="s">
        <v>8</v>
      </c>
      <c r="E250">
        <v>50</v>
      </c>
      <c r="F250" t="s">
        <v>151</v>
      </c>
      <c r="G250">
        <v>4.5999999999999996</v>
      </c>
    </row>
    <row r="251" spans="1:7" hidden="1" outlineLevel="2" x14ac:dyDescent="0.3">
      <c r="A251">
        <v>78</v>
      </c>
      <c r="B251" t="s">
        <v>75</v>
      </c>
      <c r="C251">
        <v>7</v>
      </c>
      <c r="D251" t="s">
        <v>8</v>
      </c>
      <c r="E251">
        <v>50</v>
      </c>
      <c r="F251" t="s">
        <v>151</v>
      </c>
      <c r="G251">
        <v>4.5999999999999996</v>
      </c>
    </row>
    <row r="252" spans="1:7" hidden="1" outlineLevel="2" x14ac:dyDescent="0.3">
      <c r="A252">
        <v>521</v>
      </c>
      <c r="B252" t="s">
        <v>317</v>
      </c>
      <c r="C252">
        <v>37</v>
      </c>
      <c r="D252" t="s">
        <v>8</v>
      </c>
      <c r="E252">
        <v>50</v>
      </c>
      <c r="F252" t="s">
        <v>151</v>
      </c>
      <c r="G252">
        <v>4.5999999999999996</v>
      </c>
    </row>
    <row r="253" spans="1:7" hidden="1" outlineLevel="2" x14ac:dyDescent="0.3">
      <c r="A253">
        <v>380</v>
      </c>
      <c r="B253" t="s">
        <v>493</v>
      </c>
      <c r="C253">
        <v>25</v>
      </c>
      <c r="D253" t="s">
        <v>8</v>
      </c>
      <c r="E253">
        <v>50</v>
      </c>
      <c r="F253" t="s">
        <v>151</v>
      </c>
      <c r="G253">
        <v>4.5999999999999996</v>
      </c>
    </row>
    <row r="254" spans="1:7" outlineLevel="1" collapsed="1" x14ac:dyDescent="0.3">
      <c r="E254" s="1" t="s">
        <v>1398</v>
      </c>
      <c r="F254" t="str">
        <f>F253</f>
        <v>Dawn</v>
      </c>
      <c r="G254">
        <f>SUBTOTAL(3,G250:G253)</f>
        <v>4</v>
      </c>
    </row>
    <row r="255" spans="1:7" hidden="1" outlineLevel="2" x14ac:dyDescent="0.3">
      <c r="A255">
        <v>181</v>
      </c>
      <c r="B255" t="s">
        <v>287</v>
      </c>
      <c r="C255">
        <v>16</v>
      </c>
      <c r="D255" t="s">
        <v>8</v>
      </c>
      <c r="E255">
        <v>51</v>
      </c>
      <c r="F255" t="s">
        <v>288</v>
      </c>
      <c r="G255">
        <v>4.66</v>
      </c>
    </row>
    <row r="256" spans="1:7" outlineLevel="1" collapsed="1" x14ac:dyDescent="0.3">
      <c r="E256" s="1" t="s">
        <v>1399</v>
      </c>
      <c r="F256" t="str">
        <f>F255</f>
        <v>Endbringer</v>
      </c>
      <c r="G256">
        <f>SUBTOTAL(3,G255:G255)</f>
        <v>1</v>
      </c>
    </row>
    <row r="257" spans="1:7" hidden="1" outlineLevel="2" x14ac:dyDescent="0.3">
      <c r="A257">
        <v>564</v>
      </c>
      <c r="B257" t="s">
        <v>337</v>
      </c>
      <c r="C257">
        <v>22</v>
      </c>
      <c r="D257" t="s">
        <v>39</v>
      </c>
      <c r="E257">
        <v>52</v>
      </c>
      <c r="F257" t="s">
        <v>415</v>
      </c>
      <c r="G257">
        <v>4.84</v>
      </c>
    </row>
    <row r="258" spans="1:7" hidden="1" outlineLevel="2" x14ac:dyDescent="0.3">
      <c r="A258">
        <v>295</v>
      </c>
      <c r="B258" t="s">
        <v>414</v>
      </c>
      <c r="C258">
        <v>23</v>
      </c>
      <c r="D258" t="s">
        <v>8</v>
      </c>
      <c r="E258">
        <v>52</v>
      </c>
      <c r="F258" t="s">
        <v>415</v>
      </c>
      <c r="G258">
        <v>4.84</v>
      </c>
    </row>
    <row r="259" spans="1:7" hidden="1" outlineLevel="2" x14ac:dyDescent="0.3">
      <c r="A259">
        <v>612</v>
      </c>
      <c r="B259" t="s">
        <v>612</v>
      </c>
      <c r="C259">
        <v>21</v>
      </c>
      <c r="D259" t="s">
        <v>8</v>
      </c>
      <c r="E259">
        <v>52</v>
      </c>
      <c r="F259" t="s">
        <v>415</v>
      </c>
      <c r="G259">
        <v>4.84</v>
      </c>
    </row>
    <row r="260" spans="1:7" hidden="1" outlineLevel="2" x14ac:dyDescent="0.3">
      <c r="A260">
        <v>497</v>
      </c>
      <c r="B260" t="s">
        <v>454</v>
      </c>
      <c r="C260">
        <v>15</v>
      </c>
      <c r="D260" t="s">
        <v>8</v>
      </c>
      <c r="E260">
        <v>52</v>
      </c>
      <c r="F260" t="s">
        <v>415</v>
      </c>
      <c r="G260">
        <v>4.84</v>
      </c>
    </row>
    <row r="261" spans="1:7" outlineLevel="1" collapsed="1" x14ac:dyDescent="0.3">
      <c r="E261" s="1" t="s">
        <v>1400</v>
      </c>
      <c r="F261" t="str">
        <f>F260</f>
        <v>Hatred</v>
      </c>
      <c r="G261">
        <f>SUBTOTAL(3,G257:G260)</f>
        <v>4</v>
      </c>
    </row>
    <row r="262" spans="1:7" hidden="1" outlineLevel="2" x14ac:dyDescent="0.3">
      <c r="A262">
        <v>653</v>
      </c>
      <c r="B262" t="s">
        <v>688</v>
      </c>
      <c r="C262">
        <v>32</v>
      </c>
      <c r="D262" t="s">
        <v>39</v>
      </c>
      <c r="E262">
        <v>53</v>
      </c>
      <c r="F262" t="s">
        <v>80</v>
      </c>
      <c r="G262">
        <v>2.0499999999999998</v>
      </c>
    </row>
    <row r="263" spans="1:7" hidden="1" outlineLevel="2" x14ac:dyDescent="0.3">
      <c r="A263">
        <v>307</v>
      </c>
      <c r="B263" t="s">
        <v>426</v>
      </c>
      <c r="C263">
        <v>34</v>
      </c>
      <c r="D263" t="s">
        <v>8</v>
      </c>
      <c r="E263">
        <v>53</v>
      </c>
      <c r="F263" t="s">
        <v>80</v>
      </c>
      <c r="G263">
        <v>2.0499999999999998</v>
      </c>
    </row>
    <row r="264" spans="1:7" hidden="1" outlineLevel="2" x14ac:dyDescent="0.3">
      <c r="A264">
        <v>749</v>
      </c>
      <c r="B264" t="s">
        <v>723</v>
      </c>
      <c r="C264">
        <v>20</v>
      </c>
      <c r="D264" t="s">
        <v>8</v>
      </c>
      <c r="E264">
        <v>53</v>
      </c>
      <c r="F264" t="s">
        <v>80</v>
      </c>
      <c r="G264">
        <v>2.0499999999999998</v>
      </c>
    </row>
    <row r="265" spans="1:7" hidden="1" outlineLevel="2" x14ac:dyDescent="0.3">
      <c r="A265">
        <v>486</v>
      </c>
      <c r="B265" t="s">
        <v>581</v>
      </c>
      <c r="C265">
        <v>9</v>
      </c>
      <c r="D265" t="s">
        <v>8</v>
      </c>
      <c r="E265">
        <v>53</v>
      </c>
      <c r="F265" t="s">
        <v>80</v>
      </c>
      <c r="G265">
        <v>2.0499999999999998</v>
      </c>
    </row>
    <row r="266" spans="1:7" hidden="1" outlineLevel="2" x14ac:dyDescent="0.3">
      <c r="A266">
        <v>35</v>
      </c>
      <c r="B266" t="s">
        <v>79</v>
      </c>
      <c r="C266">
        <v>22</v>
      </c>
      <c r="D266" t="s">
        <v>8</v>
      </c>
      <c r="E266">
        <v>53</v>
      </c>
      <c r="F266" t="s">
        <v>80</v>
      </c>
      <c r="G266">
        <v>2.0499999999999998</v>
      </c>
    </row>
    <row r="267" spans="1:7" hidden="1" outlineLevel="2" x14ac:dyDescent="0.3">
      <c r="A267">
        <v>408</v>
      </c>
      <c r="B267" t="s">
        <v>117</v>
      </c>
      <c r="C267">
        <v>12</v>
      </c>
      <c r="D267" t="s">
        <v>8</v>
      </c>
      <c r="E267">
        <v>53</v>
      </c>
      <c r="F267" t="s">
        <v>80</v>
      </c>
      <c r="G267">
        <v>2.0499999999999998</v>
      </c>
    </row>
    <row r="268" spans="1:7" hidden="1" outlineLevel="2" x14ac:dyDescent="0.3">
      <c r="A268">
        <v>104</v>
      </c>
      <c r="B268" t="s">
        <v>185</v>
      </c>
      <c r="C268">
        <v>24</v>
      </c>
      <c r="D268" t="s">
        <v>8</v>
      </c>
      <c r="E268">
        <v>53</v>
      </c>
      <c r="F268" t="s">
        <v>80</v>
      </c>
      <c r="G268">
        <v>2.0499999999999998</v>
      </c>
    </row>
    <row r="269" spans="1:7" outlineLevel="1" collapsed="1" x14ac:dyDescent="0.3">
      <c r="E269" s="1" t="s">
        <v>1401</v>
      </c>
      <c r="F269" t="str">
        <f>F268</f>
        <v>Vengeance Cleaver</v>
      </c>
      <c r="G269">
        <f>SUBTOTAL(3,G262:G268)</f>
        <v>7</v>
      </c>
    </row>
    <row r="270" spans="1:7" hidden="1" outlineLevel="2" x14ac:dyDescent="0.3">
      <c r="A270">
        <v>226</v>
      </c>
      <c r="B270" t="s">
        <v>340</v>
      </c>
      <c r="C270">
        <v>25</v>
      </c>
      <c r="D270" t="s">
        <v>8</v>
      </c>
      <c r="E270">
        <v>54</v>
      </c>
      <c r="F270" t="s">
        <v>189</v>
      </c>
      <c r="G270">
        <v>2.5</v>
      </c>
    </row>
    <row r="271" spans="1:7" hidden="1" outlineLevel="2" x14ac:dyDescent="0.3">
      <c r="A271">
        <v>393</v>
      </c>
      <c r="B271" t="s">
        <v>506</v>
      </c>
      <c r="C271">
        <v>20</v>
      </c>
      <c r="D271" t="s">
        <v>8</v>
      </c>
      <c r="E271">
        <v>54</v>
      </c>
      <c r="F271" t="s">
        <v>189</v>
      </c>
      <c r="G271">
        <v>2.5</v>
      </c>
    </row>
    <row r="272" spans="1:7" hidden="1" outlineLevel="2" x14ac:dyDescent="0.3">
      <c r="A272">
        <v>325</v>
      </c>
      <c r="B272" t="s">
        <v>300</v>
      </c>
      <c r="C272">
        <v>23</v>
      </c>
      <c r="D272" t="s">
        <v>8</v>
      </c>
      <c r="E272">
        <v>54</v>
      </c>
      <c r="F272" t="s">
        <v>189</v>
      </c>
      <c r="G272">
        <v>2.5</v>
      </c>
    </row>
    <row r="273" spans="1:7" hidden="1" outlineLevel="2" x14ac:dyDescent="0.3">
      <c r="A273">
        <v>106</v>
      </c>
      <c r="B273" t="s">
        <v>188</v>
      </c>
      <c r="C273">
        <v>22</v>
      </c>
      <c r="D273" t="s">
        <v>8</v>
      </c>
      <c r="E273">
        <v>54</v>
      </c>
      <c r="F273" t="s">
        <v>189</v>
      </c>
      <c r="G273">
        <v>2.5</v>
      </c>
    </row>
    <row r="274" spans="1:7" hidden="1" outlineLevel="2" x14ac:dyDescent="0.3">
      <c r="A274">
        <v>735</v>
      </c>
      <c r="B274" t="s">
        <v>613</v>
      </c>
      <c r="C274">
        <v>24</v>
      </c>
      <c r="D274" t="s">
        <v>8</v>
      </c>
      <c r="E274">
        <v>54</v>
      </c>
      <c r="F274" t="s">
        <v>189</v>
      </c>
      <c r="G274">
        <v>2.5</v>
      </c>
    </row>
    <row r="275" spans="1:7" hidden="1" outlineLevel="2" x14ac:dyDescent="0.3">
      <c r="A275">
        <v>326</v>
      </c>
      <c r="B275" t="s">
        <v>441</v>
      </c>
      <c r="C275">
        <v>25</v>
      </c>
      <c r="D275" t="s">
        <v>8</v>
      </c>
      <c r="E275">
        <v>54</v>
      </c>
      <c r="F275" t="s">
        <v>189</v>
      </c>
      <c r="G275">
        <v>2.5</v>
      </c>
    </row>
    <row r="276" spans="1:7" outlineLevel="1" collapsed="1" x14ac:dyDescent="0.3">
      <c r="E276" s="1" t="s">
        <v>1402</v>
      </c>
      <c r="F276" t="str">
        <f>F275</f>
        <v>Eternal Cleaver</v>
      </c>
      <c r="G276">
        <f>SUBTOTAL(3,G270:G275)</f>
        <v>6</v>
      </c>
    </row>
    <row r="277" spans="1:7" hidden="1" outlineLevel="2" x14ac:dyDescent="0.3">
      <c r="A277">
        <v>619</v>
      </c>
      <c r="B277" t="s">
        <v>667</v>
      </c>
      <c r="C277">
        <v>15</v>
      </c>
      <c r="D277" t="s">
        <v>8</v>
      </c>
      <c r="E277">
        <v>55</v>
      </c>
      <c r="F277" t="s">
        <v>656</v>
      </c>
      <c r="G277">
        <v>2.27</v>
      </c>
    </row>
    <row r="278" spans="1:7" hidden="1" outlineLevel="2" x14ac:dyDescent="0.3">
      <c r="A278">
        <v>748</v>
      </c>
      <c r="B278" t="s">
        <v>749</v>
      </c>
      <c r="C278">
        <v>20</v>
      </c>
      <c r="D278" t="s">
        <v>8</v>
      </c>
      <c r="E278">
        <v>55</v>
      </c>
      <c r="F278" t="s">
        <v>656</v>
      </c>
      <c r="G278">
        <v>2.27</v>
      </c>
    </row>
    <row r="279" spans="1:7" hidden="1" outlineLevel="2" x14ac:dyDescent="0.3">
      <c r="A279">
        <v>595</v>
      </c>
      <c r="B279" t="s">
        <v>172</v>
      </c>
      <c r="C279">
        <v>22</v>
      </c>
      <c r="D279" t="s">
        <v>8</v>
      </c>
      <c r="E279">
        <v>55</v>
      </c>
      <c r="F279" t="s">
        <v>656</v>
      </c>
      <c r="G279">
        <v>2.27</v>
      </c>
    </row>
    <row r="280" spans="1:7" outlineLevel="1" collapsed="1" x14ac:dyDescent="0.3">
      <c r="E280" s="1" t="s">
        <v>1403</v>
      </c>
      <c r="F280" t="str">
        <f>F279</f>
        <v>Vindictive Glass Edge</v>
      </c>
      <c r="G280">
        <f>SUBTOTAL(3,G277:G279)</f>
        <v>3</v>
      </c>
    </row>
    <row r="281" spans="1:7" hidden="1" outlineLevel="2" x14ac:dyDescent="0.3">
      <c r="A281">
        <v>96</v>
      </c>
      <c r="B281" t="s">
        <v>176</v>
      </c>
      <c r="C281">
        <v>16</v>
      </c>
      <c r="D281" t="s">
        <v>8</v>
      </c>
      <c r="E281">
        <v>56</v>
      </c>
      <c r="F281" t="s">
        <v>130</v>
      </c>
      <c r="G281">
        <v>2.92</v>
      </c>
    </row>
    <row r="282" spans="1:7" hidden="1" outlineLevel="2" x14ac:dyDescent="0.3">
      <c r="A282">
        <v>64</v>
      </c>
      <c r="B282" t="s">
        <v>129</v>
      </c>
      <c r="C282">
        <v>20</v>
      </c>
      <c r="D282" t="s">
        <v>8</v>
      </c>
      <c r="E282">
        <v>56</v>
      </c>
      <c r="F282" t="s">
        <v>130</v>
      </c>
      <c r="G282">
        <v>2.92</v>
      </c>
    </row>
    <row r="283" spans="1:7" outlineLevel="1" collapsed="1" x14ac:dyDescent="0.3">
      <c r="E283" s="1" t="s">
        <v>1404</v>
      </c>
      <c r="F283" t="str">
        <f>F282</f>
        <v>Foul Titanium Battle Axe</v>
      </c>
      <c r="G283">
        <f>SUBTOTAL(3,G281:G282)</f>
        <v>2</v>
      </c>
    </row>
    <row r="284" spans="1:7" hidden="1" outlineLevel="2" x14ac:dyDescent="0.3">
      <c r="A284">
        <v>178</v>
      </c>
      <c r="B284" t="s">
        <v>284</v>
      </c>
      <c r="C284">
        <v>20</v>
      </c>
      <c r="D284" t="s">
        <v>39</v>
      </c>
      <c r="E284">
        <v>57</v>
      </c>
      <c r="F284" t="s">
        <v>50</v>
      </c>
      <c r="G284">
        <v>4.5999999999999996</v>
      </c>
    </row>
    <row r="285" spans="1:7" hidden="1" outlineLevel="2" x14ac:dyDescent="0.3">
      <c r="A285">
        <v>219</v>
      </c>
      <c r="B285" t="s">
        <v>334</v>
      </c>
      <c r="C285">
        <v>19</v>
      </c>
      <c r="D285" t="s">
        <v>8</v>
      </c>
      <c r="E285">
        <v>57</v>
      </c>
      <c r="F285" t="s">
        <v>50</v>
      </c>
      <c r="G285">
        <v>4.5999999999999996</v>
      </c>
    </row>
    <row r="286" spans="1:7" hidden="1" outlineLevel="2" x14ac:dyDescent="0.3">
      <c r="A286">
        <v>757</v>
      </c>
      <c r="B286" t="s">
        <v>755</v>
      </c>
      <c r="C286">
        <v>18</v>
      </c>
      <c r="D286" t="s">
        <v>8</v>
      </c>
      <c r="E286">
        <v>57</v>
      </c>
      <c r="F286" t="s">
        <v>50</v>
      </c>
      <c r="G286">
        <v>4.5999999999999996</v>
      </c>
    </row>
    <row r="287" spans="1:7" hidden="1" outlineLevel="2" x14ac:dyDescent="0.3">
      <c r="A287">
        <v>20</v>
      </c>
      <c r="B287" t="s">
        <v>49</v>
      </c>
      <c r="C287">
        <v>20</v>
      </c>
      <c r="D287" t="s">
        <v>8</v>
      </c>
      <c r="E287">
        <v>57</v>
      </c>
      <c r="F287" t="s">
        <v>50</v>
      </c>
      <c r="G287">
        <v>4.5999999999999996</v>
      </c>
    </row>
    <row r="288" spans="1:7" outlineLevel="1" collapsed="1" x14ac:dyDescent="0.3">
      <c r="E288" s="1" t="s">
        <v>1405</v>
      </c>
      <c r="F288" t="str">
        <f>F287</f>
        <v>Despair, Favor of Due Diligence</v>
      </c>
      <c r="G288">
        <f>SUBTOTAL(3,G284:G287)</f>
        <v>4</v>
      </c>
    </row>
    <row r="289" spans="1:7" hidden="1" outlineLevel="2" x14ac:dyDescent="0.3">
      <c r="A289">
        <v>698</v>
      </c>
      <c r="B289" t="s">
        <v>715</v>
      </c>
      <c r="C289">
        <v>30</v>
      </c>
      <c r="D289" t="s">
        <v>39</v>
      </c>
      <c r="E289">
        <v>58</v>
      </c>
      <c r="F289" t="s">
        <v>221</v>
      </c>
      <c r="G289">
        <v>4.1399999999999997</v>
      </c>
    </row>
    <row r="290" spans="1:7" hidden="1" outlineLevel="2" x14ac:dyDescent="0.3">
      <c r="A290">
        <v>766</v>
      </c>
      <c r="B290" t="s">
        <v>333</v>
      </c>
      <c r="C290">
        <v>23</v>
      </c>
      <c r="D290" t="s">
        <v>8</v>
      </c>
      <c r="E290">
        <v>58</v>
      </c>
      <c r="F290" t="s">
        <v>221</v>
      </c>
      <c r="G290">
        <v>4.1399999999999997</v>
      </c>
    </row>
    <row r="291" spans="1:7" hidden="1" outlineLevel="2" x14ac:dyDescent="0.3">
      <c r="A291">
        <v>128</v>
      </c>
      <c r="B291" t="s">
        <v>220</v>
      </c>
      <c r="C291">
        <v>21</v>
      </c>
      <c r="D291" t="s">
        <v>8</v>
      </c>
      <c r="E291">
        <v>58</v>
      </c>
      <c r="F291" t="s">
        <v>221</v>
      </c>
      <c r="G291">
        <v>4.1399999999999997</v>
      </c>
    </row>
    <row r="292" spans="1:7" hidden="1" outlineLevel="2" x14ac:dyDescent="0.3">
      <c r="A292">
        <v>736</v>
      </c>
      <c r="B292" t="s">
        <v>740</v>
      </c>
      <c r="C292">
        <v>23</v>
      </c>
      <c r="D292" t="s">
        <v>8</v>
      </c>
      <c r="E292">
        <v>58</v>
      </c>
      <c r="F292" t="s">
        <v>221</v>
      </c>
      <c r="G292">
        <v>4.1399999999999997</v>
      </c>
    </row>
    <row r="293" spans="1:7" outlineLevel="1" collapsed="1" x14ac:dyDescent="0.3">
      <c r="E293" s="1" t="s">
        <v>1406</v>
      </c>
      <c r="F293" t="str">
        <f>F292</f>
        <v>Freak's Bite, Favor of Holy Might</v>
      </c>
      <c r="G293">
        <f>SUBTOTAL(3,G289:G292)</f>
        <v>4</v>
      </c>
    </row>
    <row r="294" spans="1:7" hidden="1" outlineLevel="2" x14ac:dyDescent="0.3">
      <c r="A294">
        <v>91</v>
      </c>
      <c r="B294" t="s">
        <v>168</v>
      </c>
      <c r="C294">
        <v>20</v>
      </c>
      <c r="D294" t="s">
        <v>8</v>
      </c>
      <c r="E294">
        <v>59</v>
      </c>
      <c r="F294" t="s">
        <v>169</v>
      </c>
      <c r="G294">
        <v>4.2300000000000004</v>
      </c>
    </row>
    <row r="295" spans="1:7" hidden="1" outlineLevel="2" x14ac:dyDescent="0.3">
      <c r="A295">
        <v>154</v>
      </c>
      <c r="B295" t="s">
        <v>252</v>
      </c>
      <c r="C295">
        <v>20</v>
      </c>
      <c r="D295" t="s">
        <v>8</v>
      </c>
      <c r="E295">
        <v>59</v>
      </c>
      <c r="F295" t="s">
        <v>169</v>
      </c>
      <c r="G295">
        <v>4.2300000000000004</v>
      </c>
    </row>
    <row r="296" spans="1:7" hidden="1" outlineLevel="2" x14ac:dyDescent="0.3">
      <c r="A296">
        <v>503</v>
      </c>
      <c r="B296" t="s">
        <v>329</v>
      </c>
      <c r="C296">
        <v>23</v>
      </c>
      <c r="D296" t="s">
        <v>8</v>
      </c>
      <c r="E296">
        <v>59</v>
      </c>
      <c r="F296" t="s">
        <v>169</v>
      </c>
      <c r="G296">
        <v>4.2300000000000004</v>
      </c>
    </row>
    <row r="297" spans="1:7" hidden="1" outlineLevel="2" x14ac:dyDescent="0.3">
      <c r="A297">
        <v>376</v>
      </c>
      <c r="B297" t="s">
        <v>489</v>
      </c>
      <c r="C297">
        <v>33</v>
      </c>
      <c r="D297" t="s">
        <v>8</v>
      </c>
      <c r="E297">
        <v>59</v>
      </c>
      <c r="F297" t="s">
        <v>169</v>
      </c>
      <c r="G297">
        <v>4.2300000000000004</v>
      </c>
    </row>
    <row r="298" spans="1:7" hidden="1" outlineLevel="2" x14ac:dyDescent="0.3">
      <c r="A298">
        <v>179</v>
      </c>
      <c r="B298" t="s">
        <v>285</v>
      </c>
      <c r="C298">
        <v>24</v>
      </c>
      <c r="D298" t="s">
        <v>8</v>
      </c>
      <c r="E298">
        <v>59</v>
      </c>
      <c r="F298" t="s">
        <v>169</v>
      </c>
      <c r="G298">
        <v>4.2300000000000004</v>
      </c>
    </row>
    <row r="299" spans="1:7" hidden="1" outlineLevel="2" x14ac:dyDescent="0.3">
      <c r="A299">
        <v>439</v>
      </c>
      <c r="B299" t="s">
        <v>542</v>
      </c>
      <c r="C299">
        <v>22</v>
      </c>
      <c r="D299" t="s">
        <v>8</v>
      </c>
      <c r="E299">
        <v>59</v>
      </c>
      <c r="F299" t="s">
        <v>169</v>
      </c>
      <c r="G299">
        <v>4.2300000000000004</v>
      </c>
    </row>
    <row r="300" spans="1:7" hidden="1" outlineLevel="2" x14ac:dyDescent="0.3">
      <c r="A300">
        <v>480</v>
      </c>
      <c r="B300" t="s">
        <v>577</v>
      </c>
      <c r="C300">
        <v>40</v>
      </c>
      <c r="D300" t="s">
        <v>8</v>
      </c>
      <c r="E300">
        <v>59</v>
      </c>
      <c r="F300" t="s">
        <v>169</v>
      </c>
      <c r="G300">
        <v>4.2300000000000004</v>
      </c>
    </row>
    <row r="301" spans="1:7" hidden="1" outlineLevel="2" x14ac:dyDescent="0.3">
      <c r="A301">
        <v>349</v>
      </c>
      <c r="B301" t="s">
        <v>367</v>
      </c>
      <c r="C301">
        <v>20</v>
      </c>
      <c r="D301" t="s">
        <v>8</v>
      </c>
      <c r="E301">
        <v>59</v>
      </c>
      <c r="F301" t="s">
        <v>169</v>
      </c>
      <c r="G301">
        <v>4.2300000000000004</v>
      </c>
    </row>
    <row r="302" spans="1:7" outlineLevel="1" collapsed="1" x14ac:dyDescent="0.3">
      <c r="E302" s="1" t="s">
        <v>1407</v>
      </c>
      <c r="F302" t="str">
        <f>F301</f>
        <v>Lightning, Etcher of the King</v>
      </c>
      <c r="G302">
        <f>SUBTOTAL(3,G294:G301)</f>
        <v>8</v>
      </c>
    </row>
    <row r="303" spans="1:7" hidden="1" outlineLevel="2" x14ac:dyDescent="0.3">
      <c r="A303">
        <v>775</v>
      </c>
      <c r="B303" t="s">
        <v>762</v>
      </c>
      <c r="C303">
        <v>21</v>
      </c>
      <c r="D303" t="s">
        <v>39</v>
      </c>
      <c r="E303">
        <v>60</v>
      </c>
      <c r="F303" t="s">
        <v>110</v>
      </c>
      <c r="G303">
        <v>3.54</v>
      </c>
    </row>
    <row r="304" spans="1:7" hidden="1" outlineLevel="2" x14ac:dyDescent="0.3">
      <c r="A304">
        <v>52</v>
      </c>
      <c r="B304" t="s">
        <v>109</v>
      </c>
      <c r="C304">
        <v>20</v>
      </c>
      <c r="D304" t="s">
        <v>8</v>
      </c>
      <c r="E304">
        <v>60</v>
      </c>
      <c r="F304" t="s">
        <v>110</v>
      </c>
      <c r="G304">
        <v>3.54</v>
      </c>
    </row>
    <row r="305" spans="1:7" hidden="1" outlineLevel="2" x14ac:dyDescent="0.3">
      <c r="A305">
        <v>479</v>
      </c>
      <c r="B305" t="s">
        <v>251</v>
      </c>
      <c r="C305">
        <v>21</v>
      </c>
      <c r="D305" t="s">
        <v>8</v>
      </c>
      <c r="E305">
        <v>60</v>
      </c>
      <c r="F305" t="s">
        <v>110</v>
      </c>
      <c r="G305">
        <v>3.54</v>
      </c>
    </row>
    <row r="306" spans="1:7" hidden="1" outlineLevel="2" x14ac:dyDescent="0.3">
      <c r="A306">
        <v>550</v>
      </c>
      <c r="B306" t="s">
        <v>627</v>
      </c>
      <c r="C306">
        <v>20</v>
      </c>
      <c r="D306" t="s">
        <v>8</v>
      </c>
      <c r="E306">
        <v>60</v>
      </c>
      <c r="F306" t="s">
        <v>110</v>
      </c>
      <c r="G306">
        <v>3.54</v>
      </c>
    </row>
    <row r="307" spans="1:7" hidden="1" outlineLevel="2" x14ac:dyDescent="0.3">
      <c r="A307">
        <v>394</v>
      </c>
      <c r="B307" t="s">
        <v>507</v>
      </c>
      <c r="C307">
        <v>12</v>
      </c>
      <c r="D307" t="s">
        <v>8</v>
      </c>
      <c r="E307">
        <v>60</v>
      </c>
      <c r="F307" t="s">
        <v>110</v>
      </c>
      <c r="G307">
        <v>3.54</v>
      </c>
    </row>
    <row r="308" spans="1:7" hidden="1" outlineLevel="2" x14ac:dyDescent="0.3">
      <c r="A308">
        <v>661</v>
      </c>
      <c r="B308" t="s">
        <v>430</v>
      </c>
      <c r="C308">
        <v>20</v>
      </c>
      <c r="D308" t="s">
        <v>8</v>
      </c>
      <c r="E308">
        <v>60</v>
      </c>
      <c r="F308" t="s">
        <v>110</v>
      </c>
      <c r="G308">
        <v>3.54</v>
      </c>
    </row>
    <row r="309" spans="1:7" hidden="1" outlineLevel="2" x14ac:dyDescent="0.3">
      <c r="A309">
        <v>90</v>
      </c>
      <c r="B309" t="s">
        <v>167</v>
      </c>
      <c r="C309">
        <v>21</v>
      </c>
      <c r="D309" t="s">
        <v>8</v>
      </c>
      <c r="E309">
        <v>60</v>
      </c>
      <c r="F309" t="s">
        <v>110</v>
      </c>
      <c r="G309">
        <v>3.54</v>
      </c>
    </row>
    <row r="310" spans="1:7" hidden="1" outlineLevel="2" x14ac:dyDescent="0.3">
      <c r="A310">
        <v>141</v>
      </c>
      <c r="B310" t="s">
        <v>113</v>
      </c>
      <c r="C310">
        <v>10</v>
      </c>
      <c r="D310" t="s">
        <v>8</v>
      </c>
      <c r="E310">
        <v>60</v>
      </c>
      <c r="F310" t="s">
        <v>110</v>
      </c>
      <c r="G310">
        <v>3.54</v>
      </c>
    </row>
    <row r="311" spans="1:7" outlineLevel="1" collapsed="1" x14ac:dyDescent="0.3">
      <c r="E311" s="1" t="s">
        <v>1408</v>
      </c>
      <c r="F311" t="str">
        <f>F310</f>
        <v>Wolf</v>
      </c>
      <c r="G311">
        <f>SUBTOTAL(3,G303:G310)</f>
        <v>8</v>
      </c>
    </row>
    <row r="312" spans="1:7" hidden="1" outlineLevel="2" x14ac:dyDescent="0.3">
      <c r="A312">
        <v>647</v>
      </c>
      <c r="B312" t="s">
        <v>685</v>
      </c>
      <c r="C312">
        <v>24</v>
      </c>
      <c r="D312" t="s">
        <v>8</v>
      </c>
      <c r="E312">
        <v>61</v>
      </c>
      <c r="F312" t="s">
        <v>557</v>
      </c>
      <c r="G312">
        <v>3.87</v>
      </c>
    </row>
    <row r="313" spans="1:7" hidden="1" outlineLevel="2" x14ac:dyDescent="0.3">
      <c r="A313">
        <v>457</v>
      </c>
      <c r="B313" t="s">
        <v>556</v>
      </c>
      <c r="C313">
        <v>25</v>
      </c>
      <c r="D313" t="s">
        <v>8</v>
      </c>
      <c r="E313">
        <v>61</v>
      </c>
      <c r="F313" t="s">
        <v>557</v>
      </c>
      <c r="G313">
        <v>3.87</v>
      </c>
    </row>
    <row r="314" spans="1:7" hidden="1" outlineLevel="2" x14ac:dyDescent="0.3">
      <c r="A314">
        <v>739</v>
      </c>
      <c r="B314" t="s">
        <v>743</v>
      </c>
      <c r="C314">
        <v>35</v>
      </c>
      <c r="D314" t="s">
        <v>8</v>
      </c>
      <c r="E314">
        <v>61</v>
      </c>
      <c r="F314" t="s">
        <v>557</v>
      </c>
      <c r="G314">
        <v>3.87</v>
      </c>
    </row>
    <row r="315" spans="1:7" outlineLevel="1" collapsed="1" x14ac:dyDescent="0.3">
      <c r="E315" s="1" t="s">
        <v>1409</v>
      </c>
      <c r="F315" t="str">
        <f>F314</f>
        <v>Ragnarok</v>
      </c>
      <c r="G315">
        <f>SUBTOTAL(3,G312:G314)</f>
        <v>3</v>
      </c>
    </row>
    <row r="316" spans="1:7" hidden="1" outlineLevel="2" x14ac:dyDescent="0.3">
      <c r="A316">
        <v>125</v>
      </c>
      <c r="B316" t="s">
        <v>216</v>
      </c>
      <c r="C316">
        <v>20</v>
      </c>
      <c r="D316" t="s">
        <v>39</v>
      </c>
      <c r="E316">
        <v>62</v>
      </c>
      <c r="F316" t="s">
        <v>217</v>
      </c>
      <c r="G316">
        <v>1.87</v>
      </c>
    </row>
    <row r="317" spans="1:7" hidden="1" outlineLevel="2" x14ac:dyDescent="0.3">
      <c r="A317">
        <v>131</v>
      </c>
      <c r="B317" t="s">
        <v>226</v>
      </c>
      <c r="C317">
        <v>22</v>
      </c>
      <c r="D317" t="s">
        <v>8</v>
      </c>
      <c r="E317">
        <v>62</v>
      </c>
      <c r="F317" t="s">
        <v>217</v>
      </c>
      <c r="G317">
        <v>1.87</v>
      </c>
    </row>
    <row r="318" spans="1:7" hidden="1" outlineLevel="2" x14ac:dyDescent="0.3">
      <c r="A318">
        <v>193</v>
      </c>
      <c r="B318" t="s">
        <v>306</v>
      </c>
      <c r="C318">
        <v>27</v>
      </c>
      <c r="D318" t="s">
        <v>8</v>
      </c>
      <c r="E318">
        <v>62</v>
      </c>
      <c r="F318" t="s">
        <v>217</v>
      </c>
      <c r="G318">
        <v>1.87</v>
      </c>
    </row>
    <row r="319" spans="1:7" outlineLevel="1" collapsed="1" x14ac:dyDescent="0.3">
      <c r="E319" s="1" t="s">
        <v>1410</v>
      </c>
      <c r="F319" t="str">
        <f>F318</f>
        <v>Piece Maker</v>
      </c>
      <c r="G319">
        <f>SUBTOTAL(3,G316:G318)</f>
        <v>3</v>
      </c>
    </row>
    <row r="320" spans="1:7" hidden="1" outlineLevel="2" x14ac:dyDescent="0.3">
      <c r="A320">
        <v>554</v>
      </c>
      <c r="B320" t="s">
        <v>629</v>
      </c>
      <c r="C320">
        <v>22</v>
      </c>
      <c r="D320" t="s">
        <v>8</v>
      </c>
      <c r="E320">
        <v>63</v>
      </c>
      <c r="F320" t="s">
        <v>301</v>
      </c>
      <c r="G320">
        <v>4.99</v>
      </c>
    </row>
    <row r="321" spans="1:7" hidden="1" outlineLevel="2" x14ac:dyDescent="0.3">
      <c r="A321">
        <v>189</v>
      </c>
      <c r="B321" t="s">
        <v>300</v>
      </c>
      <c r="C321">
        <v>23</v>
      </c>
      <c r="D321" t="s">
        <v>8</v>
      </c>
      <c r="E321">
        <v>63</v>
      </c>
      <c r="F321" t="s">
        <v>301</v>
      </c>
      <c r="G321">
        <v>4.99</v>
      </c>
    </row>
    <row r="322" spans="1:7" outlineLevel="1" collapsed="1" x14ac:dyDescent="0.3">
      <c r="E322" s="1" t="s">
        <v>1411</v>
      </c>
      <c r="F322" t="str">
        <f>F321</f>
        <v>Stormfury Mace</v>
      </c>
      <c r="G322">
        <f>SUBTOTAL(3,G320:G321)</f>
        <v>2</v>
      </c>
    </row>
    <row r="323" spans="1:7" hidden="1" outlineLevel="2" x14ac:dyDescent="0.3">
      <c r="A323">
        <v>556</v>
      </c>
      <c r="B323" t="s">
        <v>595</v>
      </c>
      <c r="C323">
        <v>20</v>
      </c>
      <c r="D323" t="s">
        <v>8</v>
      </c>
      <c r="E323">
        <v>64</v>
      </c>
      <c r="F323" t="s">
        <v>486</v>
      </c>
      <c r="G323">
        <v>4.82</v>
      </c>
    </row>
    <row r="324" spans="1:7" hidden="1" outlineLevel="2" x14ac:dyDescent="0.3">
      <c r="A324">
        <v>511</v>
      </c>
      <c r="B324" t="s">
        <v>205</v>
      </c>
      <c r="C324">
        <v>21</v>
      </c>
      <c r="D324" t="s">
        <v>8</v>
      </c>
      <c r="E324">
        <v>64</v>
      </c>
      <c r="F324" t="s">
        <v>486</v>
      </c>
      <c r="G324">
        <v>4.82</v>
      </c>
    </row>
    <row r="325" spans="1:7" hidden="1" outlineLevel="2" x14ac:dyDescent="0.3">
      <c r="A325">
        <v>372</v>
      </c>
      <c r="B325" t="s">
        <v>485</v>
      </c>
      <c r="C325">
        <v>35</v>
      </c>
      <c r="D325" t="s">
        <v>8</v>
      </c>
      <c r="E325">
        <v>64</v>
      </c>
      <c r="F325" t="s">
        <v>486</v>
      </c>
      <c r="G325">
        <v>4.82</v>
      </c>
    </row>
    <row r="326" spans="1:7" outlineLevel="1" collapsed="1" x14ac:dyDescent="0.3">
      <c r="E326" s="1" t="s">
        <v>1412</v>
      </c>
      <c r="F326" t="str">
        <f>F325</f>
        <v>Fusion Pummel</v>
      </c>
      <c r="G326">
        <f>SUBTOTAL(3,G323:G325)</f>
        <v>3</v>
      </c>
    </row>
    <row r="327" spans="1:7" hidden="1" outlineLevel="2" x14ac:dyDescent="0.3">
      <c r="A327">
        <v>296</v>
      </c>
      <c r="B327" t="s">
        <v>416</v>
      </c>
      <c r="C327">
        <v>22</v>
      </c>
      <c r="D327" t="s">
        <v>39</v>
      </c>
      <c r="E327">
        <v>65</v>
      </c>
      <c r="F327" t="s">
        <v>262</v>
      </c>
      <c r="G327">
        <v>4.24</v>
      </c>
    </row>
    <row r="328" spans="1:7" hidden="1" outlineLevel="2" x14ac:dyDescent="0.3">
      <c r="A328">
        <v>614</v>
      </c>
      <c r="B328" t="s">
        <v>429</v>
      </c>
      <c r="C328">
        <v>30</v>
      </c>
      <c r="D328" t="s">
        <v>8</v>
      </c>
      <c r="E328">
        <v>65</v>
      </c>
      <c r="F328" t="s">
        <v>262</v>
      </c>
      <c r="G328">
        <v>4.24</v>
      </c>
    </row>
    <row r="329" spans="1:7" hidden="1" outlineLevel="2" x14ac:dyDescent="0.3">
      <c r="A329">
        <v>602</v>
      </c>
      <c r="B329" t="s">
        <v>660</v>
      </c>
      <c r="C329">
        <v>20</v>
      </c>
      <c r="D329" t="s">
        <v>8</v>
      </c>
      <c r="E329">
        <v>65</v>
      </c>
      <c r="F329" t="s">
        <v>262</v>
      </c>
      <c r="G329">
        <v>4.24</v>
      </c>
    </row>
    <row r="330" spans="1:7" hidden="1" outlineLevel="2" x14ac:dyDescent="0.3">
      <c r="A330">
        <v>163</v>
      </c>
      <c r="B330" t="s">
        <v>261</v>
      </c>
      <c r="C330">
        <v>11</v>
      </c>
      <c r="D330" t="s">
        <v>8</v>
      </c>
      <c r="E330">
        <v>65</v>
      </c>
      <c r="F330" t="s">
        <v>262</v>
      </c>
      <c r="G330">
        <v>4.24</v>
      </c>
    </row>
    <row r="331" spans="1:7" hidden="1" outlineLevel="2" x14ac:dyDescent="0.3">
      <c r="A331">
        <v>172</v>
      </c>
      <c r="B331" t="s">
        <v>274</v>
      </c>
      <c r="C331">
        <v>21</v>
      </c>
      <c r="D331" t="s">
        <v>8</v>
      </c>
      <c r="E331">
        <v>65</v>
      </c>
      <c r="F331" t="s">
        <v>262</v>
      </c>
      <c r="G331">
        <v>4.24</v>
      </c>
    </row>
    <row r="332" spans="1:7" outlineLevel="1" collapsed="1" x14ac:dyDescent="0.3">
      <c r="E332" s="1" t="s">
        <v>1413</v>
      </c>
      <c r="F332" t="str">
        <f>F331</f>
        <v>Conqueror Adamantite Mace</v>
      </c>
      <c r="G332">
        <f>SUBTOTAL(3,G327:G331)</f>
        <v>5</v>
      </c>
    </row>
    <row r="333" spans="1:7" hidden="1" outlineLevel="2" x14ac:dyDescent="0.3">
      <c r="A333">
        <v>667</v>
      </c>
      <c r="B333" t="s">
        <v>699</v>
      </c>
      <c r="C333">
        <v>40</v>
      </c>
      <c r="D333" t="s">
        <v>39</v>
      </c>
      <c r="E333">
        <v>66</v>
      </c>
      <c r="F333" t="s">
        <v>347</v>
      </c>
      <c r="G333">
        <v>4.4000000000000004</v>
      </c>
    </row>
    <row r="334" spans="1:7" hidden="1" outlineLevel="2" x14ac:dyDescent="0.3">
      <c r="A334">
        <v>233</v>
      </c>
      <c r="B334" t="s">
        <v>346</v>
      </c>
      <c r="C334">
        <v>19</v>
      </c>
      <c r="D334" t="s">
        <v>39</v>
      </c>
      <c r="E334">
        <v>66</v>
      </c>
      <c r="F334" t="s">
        <v>347</v>
      </c>
      <c r="G334">
        <v>4.4000000000000004</v>
      </c>
    </row>
    <row r="335" spans="1:7" hidden="1" outlineLevel="2" x14ac:dyDescent="0.3">
      <c r="A335">
        <v>733</v>
      </c>
      <c r="B335" t="s">
        <v>739</v>
      </c>
      <c r="C335">
        <v>20</v>
      </c>
      <c r="D335" t="s">
        <v>8</v>
      </c>
      <c r="E335">
        <v>66</v>
      </c>
      <c r="F335" t="s">
        <v>347</v>
      </c>
      <c r="G335">
        <v>4.4000000000000004</v>
      </c>
    </row>
    <row r="336" spans="1:7" hidden="1" outlineLevel="2" x14ac:dyDescent="0.3">
      <c r="A336">
        <v>545</v>
      </c>
      <c r="B336" t="s">
        <v>623</v>
      </c>
      <c r="C336">
        <v>16</v>
      </c>
      <c r="D336" t="s">
        <v>8</v>
      </c>
      <c r="E336">
        <v>66</v>
      </c>
      <c r="F336" t="s">
        <v>347</v>
      </c>
      <c r="G336">
        <v>4.4000000000000004</v>
      </c>
    </row>
    <row r="337" spans="1:7" outlineLevel="1" collapsed="1" x14ac:dyDescent="0.3">
      <c r="E337" s="1" t="s">
        <v>1414</v>
      </c>
      <c r="F337" t="str">
        <f>F336</f>
        <v>Victor Iron Spikes</v>
      </c>
      <c r="G337">
        <f>SUBTOTAL(3,G333:G336)</f>
        <v>4</v>
      </c>
    </row>
    <row r="338" spans="1:7" hidden="1" outlineLevel="2" x14ac:dyDescent="0.3">
      <c r="A338">
        <v>649</v>
      </c>
      <c r="B338" t="s">
        <v>687</v>
      </c>
      <c r="C338">
        <v>15</v>
      </c>
      <c r="D338" t="s">
        <v>8</v>
      </c>
      <c r="E338">
        <v>67</v>
      </c>
      <c r="F338" t="s">
        <v>451</v>
      </c>
      <c r="G338">
        <v>3.46</v>
      </c>
    </row>
    <row r="339" spans="1:7" hidden="1" outlineLevel="2" x14ac:dyDescent="0.3">
      <c r="A339">
        <v>708</v>
      </c>
      <c r="B339" t="s">
        <v>539</v>
      </c>
      <c r="C339">
        <v>21</v>
      </c>
      <c r="D339" t="s">
        <v>8</v>
      </c>
      <c r="E339">
        <v>67</v>
      </c>
      <c r="F339" t="s">
        <v>451</v>
      </c>
      <c r="G339">
        <v>3.46</v>
      </c>
    </row>
    <row r="340" spans="1:7" hidden="1" outlineLevel="2" x14ac:dyDescent="0.3">
      <c r="A340">
        <v>335</v>
      </c>
      <c r="B340" t="s">
        <v>450</v>
      </c>
      <c r="C340">
        <v>33</v>
      </c>
      <c r="D340" t="s">
        <v>8</v>
      </c>
      <c r="E340">
        <v>67</v>
      </c>
      <c r="F340" t="s">
        <v>451</v>
      </c>
      <c r="G340">
        <v>3.46</v>
      </c>
    </row>
    <row r="341" spans="1:7" hidden="1" outlineLevel="2" x14ac:dyDescent="0.3">
      <c r="A341">
        <v>777</v>
      </c>
      <c r="B341" t="s">
        <v>763</v>
      </c>
      <c r="C341">
        <v>20</v>
      </c>
      <c r="D341" t="s">
        <v>8</v>
      </c>
      <c r="E341">
        <v>67</v>
      </c>
      <c r="F341" t="s">
        <v>451</v>
      </c>
      <c r="G341">
        <v>3.46</v>
      </c>
    </row>
    <row r="342" spans="1:7" outlineLevel="1" collapsed="1" x14ac:dyDescent="0.3">
      <c r="E342" s="1" t="s">
        <v>1415</v>
      </c>
      <c r="F342" t="str">
        <f>F341</f>
        <v>Celeste, Incarnation of the Corrupted</v>
      </c>
      <c r="G342">
        <f>SUBTOTAL(3,G338:G341)</f>
        <v>4</v>
      </c>
    </row>
    <row r="343" spans="1:7" hidden="1" outlineLevel="2" x14ac:dyDescent="0.3">
      <c r="A343">
        <v>448</v>
      </c>
      <c r="B343" t="s">
        <v>548</v>
      </c>
      <c r="C343">
        <v>18</v>
      </c>
      <c r="D343" t="s">
        <v>39</v>
      </c>
      <c r="E343">
        <v>68</v>
      </c>
      <c r="F343" t="s">
        <v>143</v>
      </c>
      <c r="G343">
        <v>4.32</v>
      </c>
    </row>
    <row r="344" spans="1:7" hidden="1" outlineLevel="2" x14ac:dyDescent="0.3">
      <c r="A344">
        <v>73</v>
      </c>
      <c r="B344" t="s">
        <v>142</v>
      </c>
      <c r="C344">
        <v>21</v>
      </c>
      <c r="D344" t="s">
        <v>8</v>
      </c>
      <c r="E344">
        <v>68</v>
      </c>
      <c r="F344" t="s">
        <v>143</v>
      </c>
      <c r="G344">
        <v>4.32</v>
      </c>
    </row>
    <row r="345" spans="1:7" hidden="1" outlineLevel="2" x14ac:dyDescent="0.3">
      <c r="A345">
        <v>690</v>
      </c>
      <c r="B345" t="s">
        <v>517</v>
      </c>
      <c r="C345">
        <v>15</v>
      </c>
      <c r="D345" t="s">
        <v>8</v>
      </c>
      <c r="E345">
        <v>68</v>
      </c>
      <c r="F345" t="s">
        <v>143</v>
      </c>
      <c r="G345">
        <v>4.32</v>
      </c>
    </row>
    <row r="346" spans="1:7" hidden="1" outlineLevel="2" x14ac:dyDescent="0.3">
      <c r="A346">
        <v>281</v>
      </c>
      <c r="B346" t="s">
        <v>397</v>
      </c>
      <c r="C346">
        <v>19</v>
      </c>
      <c r="D346" t="s">
        <v>8</v>
      </c>
      <c r="E346">
        <v>68</v>
      </c>
      <c r="F346" t="s">
        <v>143</v>
      </c>
      <c r="G346">
        <v>4.32</v>
      </c>
    </row>
    <row r="347" spans="1:7" outlineLevel="1" collapsed="1" x14ac:dyDescent="0.3">
      <c r="E347" s="1" t="s">
        <v>1416</v>
      </c>
      <c r="F347" t="str">
        <f>F346</f>
        <v>Storm-Weaver, Slayer of Inception</v>
      </c>
      <c r="G347">
        <f>SUBTOTAL(3,G343:G346)</f>
        <v>4</v>
      </c>
    </row>
    <row r="348" spans="1:7" hidden="1" outlineLevel="2" x14ac:dyDescent="0.3">
      <c r="A348">
        <v>570</v>
      </c>
      <c r="B348" t="s">
        <v>638</v>
      </c>
      <c r="C348">
        <v>20</v>
      </c>
      <c r="D348" t="s">
        <v>8</v>
      </c>
      <c r="E348">
        <v>69</v>
      </c>
      <c r="F348" t="s">
        <v>303</v>
      </c>
      <c r="G348">
        <v>1.98</v>
      </c>
    </row>
    <row r="349" spans="1:7" hidden="1" outlineLevel="2" x14ac:dyDescent="0.3">
      <c r="A349">
        <v>190</v>
      </c>
      <c r="B349" t="s">
        <v>302</v>
      </c>
      <c r="C349">
        <v>27</v>
      </c>
      <c r="D349" t="s">
        <v>8</v>
      </c>
      <c r="E349">
        <v>69</v>
      </c>
      <c r="F349" t="s">
        <v>303</v>
      </c>
      <c r="G349">
        <v>1.98</v>
      </c>
    </row>
    <row r="350" spans="1:7" outlineLevel="1" collapsed="1" x14ac:dyDescent="0.3">
      <c r="E350" s="1" t="s">
        <v>1417</v>
      </c>
      <c r="F350" t="str">
        <f>F349</f>
        <v>Frenzy, Defender of the Harvest</v>
      </c>
      <c r="G350">
        <f>SUBTOTAL(3,G348:G349)</f>
        <v>2</v>
      </c>
    </row>
    <row r="351" spans="1:7" hidden="1" outlineLevel="2" x14ac:dyDescent="0.3">
      <c r="A351">
        <v>405</v>
      </c>
      <c r="B351" t="s">
        <v>516</v>
      </c>
      <c r="C351">
        <v>25</v>
      </c>
      <c r="D351" t="s">
        <v>8</v>
      </c>
      <c r="E351">
        <v>70</v>
      </c>
      <c r="F351" t="s">
        <v>379</v>
      </c>
      <c r="G351">
        <v>1.03</v>
      </c>
    </row>
    <row r="352" spans="1:7" hidden="1" outlineLevel="2" x14ac:dyDescent="0.3">
      <c r="A352">
        <v>453</v>
      </c>
      <c r="B352" t="s">
        <v>553</v>
      </c>
      <c r="C352">
        <v>24</v>
      </c>
      <c r="D352" t="s">
        <v>8</v>
      </c>
      <c r="E352">
        <v>70</v>
      </c>
      <c r="F352" t="s">
        <v>379</v>
      </c>
      <c r="G352">
        <v>1.03</v>
      </c>
    </row>
    <row r="353" spans="1:7" hidden="1" outlineLevel="2" x14ac:dyDescent="0.3">
      <c r="A353">
        <v>292</v>
      </c>
      <c r="B353" t="s">
        <v>235</v>
      </c>
      <c r="C353">
        <v>13</v>
      </c>
      <c r="D353" t="s">
        <v>8</v>
      </c>
      <c r="E353">
        <v>70</v>
      </c>
      <c r="F353" t="s">
        <v>379</v>
      </c>
      <c r="G353">
        <v>1.03</v>
      </c>
    </row>
    <row r="354" spans="1:7" hidden="1" outlineLevel="2" x14ac:dyDescent="0.3">
      <c r="A354">
        <v>260</v>
      </c>
      <c r="B354" t="s">
        <v>378</v>
      </c>
      <c r="C354">
        <v>16</v>
      </c>
      <c r="D354" t="s">
        <v>8</v>
      </c>
      <c r="E354">
        <v>70</v>
      </c>
      <c r="F354" t="s">
        <v>379</v>
      </c>
      <c r="G354">
        <v>1.03</v>
      </c>
    </row>
    <row r="355" spans="1:7" outlineLevel="1" collapsed="1" x14ac:dyDescent="0.3">
      <c r="E355" s="1" t="s">
        <v>1418</v>
      </c>
      <c r="F355" t="str">
        <f>F354</f>
        <v>Hope's End</v>
      </c>
      <c r="G355">
        <f>SUBTOTAL(3,G351:G354)</f>
        <v>4</v>
      </c>
    </row>
    <row r="356" spans="1:7" hidden="1" outlineLevel="2" x14ac:dyDescent="0.3">
      <c r="A356">
        <v>404</v>
      </c>
      <c r="B356" t="s">
        <v>497</v>
      </c>
      <c r="C356">
        <v>21</v>
      </c>
      <c r="D356" t="s">
        <v>39</v>
      </c>
      <c r="E356">
        <v>71</v>
      </c>
      <c r="F356" t="s">
        <v>62</v>
      </c>
      <c r="G356">
        <v>1.61</v>
      </c>
    </row>
    <row r="357" spans="1:7" hidden="1" outlineLevel="2" x14ac:dyDescent="0.3">
      <c r="A357">
        <v>303</v>
      </c>
      <c r="B357" t="s">
        <v>422</v>
      </c>
      <c r="C357">
        <v>24</v>
      </c>
      <c r="D357" t="s">
        <v>8</v>
      </c>
      <c r="E357">
        <v>71</v>
      </c>
      <c r="F357" t="s">
        <v>62</v>
      </c>
      <c r="G357">
        <v>1.61</v>
      </c>
    </row>
    <row r="358" spans="1:7" hidden="1" outlineLevel="2" x14ac:dyDescent="0.3">
      <c r="A358">
        <v>311</v>
      </c>
      <c r="B358" t="s">
        <v>389</v>
      </c>
      <c r="C358">
        <v>8</v>
      </c>
      <c r="D358" t="s">
        <v>8</v>
      </c>
      <c r="E358">
        <v>71</v>
      </c>
      <c r="F358" t="s">
        <v>62</v>
      </c>
      <c r="G358">
        <v>1.61</v>
      </c>
    </row>
    <row r="359" spans="1:7" hidden="1" outlineLevel="2" x14ac:dyDescent="0.3">
      <c r="A359">
        <v>341</v>
      </c>
      <c r="B359" t="s">
        <v>458</v>
      </c>
      <c r="C359">
        <v>41</v>
      </c>
      <c r="D359" t="s">
        <v>8</v>
      </c>
      <c r="E359">
        <v>71</v>
      </c>
      <c r="F359" t="s">
        <v>62</v>
      </c>
      <c r="G359">
        <v>1.61</v>
      </c>
    </row>
    <row r="360" spans="1:7" hidden="1" outlineLevel="2" x14ac:dyDescent="0.3">
      <c r="A360">
        <v>268</v>
      </c>
      <c r="B360" t="s">
        <v>248</v>
      </c>
      <c r="C360">
        <v>17</v>
      </c>
      <c r="D360" t="s">
        <v>8</v>
      </c>
      <c r="E360">
        <v>71</v>
      </c>
      <c r="F360" t="s">
        <v>62</v>
      </c>
      <c r="G360">
        <v>1.61</v>
      </c>
    </row>
    <row r="361" spans="1:7" hidden="1" outlineLevel="2" x14ac:dyDescent="0.3">
      <c r="A361">
        <v>26</v>
      </c>
      <c r="B361" t="s">
        <v>61</v>
      </c>
      <c r="C361">
        <v>11</v>
      </c>
      <c r="D361" t="s">
        <v>8</v>
      </c>
      <c r="E361">
        <v>71</v>
      </c>
      <c r="F361" t="s">
        <v>62</v>
      </c>
      <c r="G361">
        <v>1.61</v>
      </c>
    </row>
    <row r="362" spans="1:7" hidden="1" outlineLevel="2" x14ac:dyDescent="0.3">
      <c r="A362">
        <v>255</v>
      </c>
      <c r="B362" t="s">
        <v>322</v>
      </c>
      <c r="C362">
        <v>24</v>
      </c>
      <c r="D362" t="s">
        <v>8</v>
      </c>
      <c r="E362">
        <v>71</v>
      </c>
      <c r="F362" t="s">
        <v>62</v>
      </c>
      <c r="G362">
        <v>1.61</v>
      </c>
    </row>
    <row r="363" spans="1:7" outlineLevel="1" collapsed="1" x14ac:dyDescent="0.3">
      <c r="E363" s="1" t="s">
        <v>1419</v>
      </c>
      <c r="F363" t="str">
        <f>F362</f>
        <v>Demise</v>
      </c>
      <c r="G363">
        <f>SUBTOTAL(3,G356:G362)</f>
        <v>7</v>
      </c>
    </row>
    <row r="364" spans="1:7" hidden="1" outlineLevel="2" x14ac:dyDescent="0.3">
      <c r="A364">
        <v>615</v>
      </c>
      <c r="B364" t="s">
        <v>505</v>
      </c>
      <c r="C364">
        <v>20</v>
      </c>
      <c r="D364" t="s">
        <v>39</v>
      </c>
      <c r="E364">
        <v>72</v>
      </c>
      <c r="F364" t="s">
        <v>92</v>
      </c>
      <c r="G364">
        <v>3.77</v>
      </c>
    </row>
    <row r="365" spans="1:7" hidden="1" outlineLevel="2" x14ac:dyDescent="0.3">
      <c r="A365">
        <v>42</v>
      </c>
      <c r="B365" t="s">
        <v>91</v>
      </c>
      <c r="C365">
        <v>18</v>
      </c>
      <c r="D365" t="s">
        <v>8</v>
      </c>
      <c r="E365">
        <v>72</v>
      </c>
      <c r="F365" t="s">
        <v>92</v>
      </c>
      <c r="G365">
        <v>3.77</v>
      </c>
    </row>
    <row r="366" spans="1:7" hidden="1" outlineLevel="2" x14ac:dyDescent="0.3">
      <c r="A366">
        <v>259</v>
      </c>
      <c r="B366" t="s">
        <v>377</v>
      </c>
      <c r="C366">
        <v>20</v>
      </c>
      <c r="D366" t="s">
        <v>8</v>
      </c>
      <c r="E366">
        <v>72</v>
      </c>
      <c r="F366" t="s">
        <v>92</v>
      </c>
      <c r="G366">
        <v>3.77</v>
      </c>
    </row>
    <row r="367" spans="1:7" hidden="1" outlineLevel="2" x14ac:dyDescent="0.3">
      <c r="A367">
        <v>400</v>
      </c>
      <c r="B367" t="s">
        <v>466</v>
      </c>
      <c r="C367">
        <v>22</v>
      </c>
      <c r="D367" t="s">
        <v>8</v>
      </c>
      <c r="E367">
        <v>72</v>
      </c>
      <c r="F367" t="s">
        <v>92</v>
      </c>
      <c r="G367">
        <v>3.77</v>
      </c>
    </row>
    <row r="368" spans="1:7" hidden="1" outlineLevel="2" x14ac:dyDescent="0.3">
      <c r="A368">
        <v>663</v>
      </c>
      <c r="B368" t="s">
        <v>694</v>
      </c>
      <c r="C368">
        <v>25</v>
      </c>
      <c r="D368" t="s">
        <v>8</v>
      </c>
      <c r="E368">
        <v>72</v>
      </c>
      <c r="F368" t="s">
        <v>92</v>
      </c>
      <c r="G368">
        <v>3.77</v>
      </c>
    </row>
    <row r="369" spans="1:7" hidden="1" outlineLevel="2" x14ac:dyDescent="0.3">
      <c r="A369">
        <v>725</v>
      </c>
      <c r="B369" t="s">
        <v>299</v>
      </c>
      <c r="C369">
        <v>18</v>
      </c>
      <c r="D369" t="s">
        <v>8</v>
      </c>
      <c r="E369">
        <v>72</v>
      </c>
      <c r="F369" t="s">
        <v>92</v>
      </c>
      <c r="G369">
        <v>3.77</v>
      </c>
    </row>
    <row r="370" spans="1:7" hidden="1" outlineLevel="2" x14ac:dyDescent="0.3">
      <c r="A370">
        <v>759</v>
      </c>
      <c r="B370" t="s">
        <v>257</v>
      </c>
      <c r="C370">
        <v>25</v>
      </c>
      <c r="D370" t="s">
        <v>8</v>
      </c>
      <c r="E370">
        <v>72</v>
      </c>
      <c r="F370" t="s">
        <v>92</v>
      </c>
      <c r="G370">
        <v>3.77</v>
      </c>
    </row>
    <row r="371" spans="1:7" hidden="1" outlineLevel="2" x14ac:dyDescent="0.3">
      <c r="A371">
        <v>229</v>
      </c>
      <c r="B371" t="s">
        <v>343</v>
      </c>
      <c r="C371">
        <v>17</v>
      </c>
      <c r="D371" t="s">
        <v>8</v>
      </c>
      <c r="E371">
        <v>72</v>
      </c>
      <c r="F371" t="s">
        <v>92</v>
      </c>
      <c r="G371">
        <v>3.77</v>
      </c>
    </row>
    <row r="372" spans="1:7" outlineLevel="1" collapsed="1" x14ac:dyDescent="0.3">
      <c r="E372" s="1" t="s">
        <v>1420</v>
      </c>
      <c r="F372" t="str">
        <f>F371</f>
        <v>Winter's Bite</v>
      </c>
      <c r="G372">
        <f>SUBTOTAL(3,G364:G371)</f>
        <v>8</v>
      </c>
    </row>
    <row r="373" spans="1:7" hidden="1" outlineLevel="2" x14ac:dyDescent="0.3">
      <c r="A373">
        <v>359</v>
      </c>
      <c r="B373" t="s">
        <v>474</v>
      </c>
      <c r="C373">
        <v>18</v>
      </c>
      <c r="D373" t="s">
        <v>8</v>
      </c>
      <c r="E373">
        <v>73</v>
      </c>
      <c r="F373" t="s">
        <v>84</v>
      </c>
      <c r="G373">
        <v>2.0499999999999998</v>
      </c>
    </row>
    <row r="374" spans="1:7" hidden="1" outlineLevel="2" x14ac:dyDescent="0.3">
      <c r="A374">
        <v>194</v>
      </c>
      <c r="B374" t="s">
        <v>307</v>
      </c>
      <c r="C374">
        <v>20</v>
      </c>
      <c r="D374" t="s">
        <v>8</v>
      </c>
      <c r="E374">
        <v>73</v>
      </c>
      <c r="F374" t="s">
        <v>84</v>
      </c>
      <c r="G374">
        <v>2.0499999999999998</v>
      </c>
    </row>
    <row r="375" spans="1:7" hidden="1" outlineLevel="2" x14ac:dyDescent="0.3">
      <c r="A375">
        <v>665</v>
      </c>
      <c r="B375" t="s">
        <v>697</v>
      </c>
      <c r="C375">
        <v>17</v>
      </c>
      <c r="D375" t="s">
        <v>8</v>
      </c>
      <c r="E375">
        <v>73</v>
      </c>
      <c r="F375" t="s">
        <v>84</v>
      </c>
      <c r="G375">
        <v>2.0499999999999998</v>
      </c>
    </row>
    <row r="376" spans="1:7" hidden="1" outlineLevel="2" x14ac:dyDescent="0.3">
      <c r="A376">
        <v>756</v>
      </c>
      <c r="B376" t="s">
        <v>754</v>
      </c>
      <c r="C376">
        <v>20</v>
      </c>
      <c r="D376" t="s">
        <v>8</v>
      </c>
      <c r="E376">
        <v>73</v>
      </c>
      <c r="F376" t="s">
        <v>84</v>
      </c>
      <c r="G376">
        <v>2.0499999999999998</v>
      </c>
    </row>
    <row r="377" spans="1:7" hidden="1" outlineLevel="2" x14ac:dyDescent="0.3">
      <c r="A377">
        <v>37</v>
      </c>
      <c r="B377" t="s">
        <v>83</v>
      </c>
      <c r="C377">
        <v>8</v>
      </c>
      <c r="D377" t="s">
        <v>8</v>
      </c>
      <c r="E377">
        <v>73</v>
      </c>
      <c r="F377" t="s">
        <v>84</v>
      </c>
      <c r="G377">
        <v>2.0499999999999998</v>
      </c>
    </row>
    <row r="378" spans="1:7" outlineLevel="1" collapsed="1" x14ac:dyDescent="0.3">
      <c r="E378" s="1" t="s">
        <v>1421</v>
      </c>
      <c r="F378" t="str">
        <f>F377</f>
        <v>Ritual Mace</v>
      </c>
      <c r="G378">
        <f>SUBTOTAL(3,G373:G377)</f>
        <v>5</v>
      </c>
    </row>
    <row r="379" spans="1:7" hidden="1" outlineLevel="2" x14ac:dyDescent="0.3">
      <c r="A379">
        <v>729</v>
      </c>
      <c r="B379" t="s">
        <v>736</v>
      </c>
      <c r="C379">
        <v>20</v>
      </c>
      <c r="D379" t="s">
        <v>8</v>
      </c>
      <c r="E379">
        <v>74</v>
      </c>
      <c r="F379" t="s">
        <v>223</v>
      </c>
      <c r="G379">
        <v>4.18</v>
      </c>
    </row>
    <row r="380" spans="1:7" hidden="1" outlineLevel="2" x14ac:dyDescent="0.3">
      <c r="A380">
        <v>129</v>
      </c>
      <c r="B380" t="s">
        <v>222</v>
      </c>
      <c r="C380">
        <v>19</v>
      </c>
      <c r="D380" t="s">
        <v>8</v>
      </c>
      <c r="E380">
        <v>74</v>
      </c>
      <c r="F380" t="s">
        <v>223</v>
      </c>
      <c r="G380">
        <v>4.18</v>
      </c>
    </row>
    <row r="381" spans="1:7" hidden="1" outlineLevel="2" x14ac:dyDescent="0.3">
      <c r="A381">
        <v>358</v>
      </c>
      <c r="B381" t="s">
        <v>473</v>
      </c>
      <c r="C381">
        <v>24</v>
      </c>
      <c r="D381" t="s">
        <v>8</v>
      </c>
      <c r="E381">
        <v>74</v>
      </c>
      <c r="F381" t="s">
        <v>223</v>
      </c>
      <c r="G381">
        <v>4.18</v>
      </c>
    </row>
    <row r="382" spans="1:7" outlineLevel="1" collapsed="1" x14ac:dyDescent="0.3">
      <c r="E382" s="1" t="s">
        <v>1422</v>
      </c>
      <c r="F382" t="str">
        <f>F381</f>
        <v>Yearning Crusher</v>
      </c>
      <c r="G382">
        <f>SUBTOTAL(3,G379:G381)</f>
        <v>3</v>
      </c>
    </row>
    <row r="383" spans="1:7" hidden="1" outlineLevel="2" x14ac:dyDescent="0.3">
      <c r="A383">
        <v>440</v>
      </c>
      <c r="B383" t="s">
        <v>543</v>
      </c>
      <c r="C383">
        <v>29</v>
      </c>
      <c r="D383" t="s">
        <v>39</v>
      </c>
      <c r="E383">
        <v>75</v>
      </c>
      <c r="F383" t="s">
        <v>218</v>
      </c>
      <c r="G383">
        <v>2.42</v>
      </c>
    </row>
    <row r="384" spans="1:7" hidden="1" outlineLevel="2" x14ac:dyDescent="0.3">
      <c r="A384">
        <v>548</v>
      </c>
      <c r="B384" t="s">
        <v>216</v>
      </c>
      <c r="C384">
        <v>20</v>
      </c>
      <c r="D384" t="s">
        <v>39</v>
      </c>
      <c r="E384">
        <v>75</v>
      </c>
      <c r="F384" t="s">
        <v>218</v>
      </c>
      <c r="G384">
        <v>2.42</v>
      </c>
    </row>
    <row r="385" spans="1:7" hidden="1" outlineLevel="2" x14ac:dyDescent="0.3">
      <c r="A385">
        <v>390</v>
      </c>
      <c r="B385" t="s">
        <v>503</v>
      </c>
      <c r="C385">
        <v>26</v>
      </c>
      <c r="D385" t="s">
        <v>8</v>
      </c>
      <c r="E385">
        <v>75</v>
      </c>
      <c r="F385" t="s">
        <v>218</v>
      </c>
      <c r="G385">
        <v>2.42</v>
      </c>
    </row>
    <row r="386" spans="1:7" hidden="1" outlineLevel="2" x14ac:dyDescent="0.3">
      <c r="A386">
        <v>126</v>
      </c>
      <c r="B386" t="s">
        <v>184</v>
      </c>
      <c r="C386">
        <v>24</v>
      </c>
      <c r="D386" t="s">
        <v>8</v>
      </c>
      <c r="E386">
        <v>75</v>
      </c>
      <c r="F386" t="s">
        <v>218</v>
      </c>
      <c r="G386">
        <v>2.42</v>
      </c>
    </row>
    <row r="387" spans="1:7" hidden="1" outlineLevel="2" x14ac:dyDescent="0.3">
      <c r="A387">
        <v>709</v>
      </c>
      <c r="B387" t="s">
        <v>222</v>
      </c>
      <c r="C387">
        <v>19</v>
      </c>
      <c r="D387" t="s">
        <v>8</v>
      </c>
      <c r="E387">
        <v>75</v>
      </c>
      <c r="F387" t="s">
        <v>218</v>
      </c>
      <c r="G387">
        <v>2.42</v>
      </c>
    </row>
    <row r="388" spans="1:7" hidden="1" outlineLevel="2" x14ac:dyDescent="0.3">
      <c r="A388">
        <v>170</v>
      </c>
      <c r="B388" t="s">
        <v>272</v>
      </c>
      <c r="C388">
        <v>22</v>
      </c>
      <c r="D388" t="s">
        <v>8</v>
      </c>
      <c r="E388">
        <v>75</v>
      </c>
      <c r="F388" t="s">
        <v>218</v>
      </c>
      <c r="G388">
        <v>2.42</v>
      </c>
    </row>
    <row r="389" spans="1:7" hidden="1" outlineLevel="2" x14ac:dyDescent="0.3">
      <c r="A389">
        <v>652</v>
      </c>
      <c r="B389" t="s">
        <v>471</v>
      </c>
      <c r="C389">
        <v>20</v>
      </c>
      <c r="D389" t="s">
        <v>8</v>
      </c>
      <c r="E389">
        <v>75</v>
      </c>
      <c r="F389" t="s">
        <v>218</v>
      </c>
      <c r="G389">
        <v>2.42</v>
      </c>
    </row>
    <row r="390" spans="1:7" hidden="1" outlineLevel="2" x14ac:dyDescent="0.3">
      <c r="A390">
        <v>626</v>
      </c>
      <c r="B390" t="s">
        <v>670</v>
      </c>
      <c r="C390">
        <v>16</v>
      </c>
      <c r="D390" t="s">
        <v>8</v>
      </c>
      <c r="E390">
        <v>75</v>
      </c>
      <c r="F390" t="s">
        <v>218</v>
      </c>
      <c r="G390">
        <v>2.42</v>
      </c>
    </row>
    <row r="391" spans="1:7" outlineLevel="1" collapsed="1" x14ac:dyDescent="0.3">
      <c r="E391" s="1" t="s">
        <v>1423</v>
      </c>
      <c r="F391" t="str">
        <f>F390</f>
        <v>Brutality Ivory Warmace</v>
      </c>
      <c r="G391">
        <f>SUBTOTAL(3,G383:G390)</f>
        <v>8</v>
      </c>
    </row>
    <row r="392" spans="1:7" hidden="1" outlineLevel="2" x14ac:dyDescent="0.3">
      <c r="A392">
        <v>218</v>
      </c>
      <c r="B392" t="s">
        <v>333</v>
      </c>
      <c r="C392">
        <v>23</v>
      </c>
      <c r="D392" t="s">
        <v>8</v>
      </c>
      <c r="E392">
        <v>76</v>
      </c>
      <c r="F392" t="s">
        <v>82</v>
      </c>
      <c r="G392">
        <v>3.15</v>
      </c>
    </row>
    <row r="393" spans="1:7" hidden="1" outlineLevel="2" x14ac:dyDescent="0.3">
      <c r="A393">
        <v>36</v>
      </c>
      <c r="B393" t="s">
        <v>81</v>
      </c>
      <c r="C393">
        <v>30</v>
      </c>
      <c r="D393" t="s">
        <v>8</v>
      </c>
      <c r="E393">
        <v>76</v>
      </c>
      <c r="F393" t="s">
        <v>82</v>
      </c>
      <c r="G393">
        <v>3.15</v>
      </c>
    </row>
    <row r="394" spans="1:7" hidden="1" outlineLevel="2" x14ac:dyDescent="0.3">
      <c r="A394">
        <v>755</v>
      </c>
      <c r="B394" t="s">
        <v>117</v>
      </c>
      <c r="C394">
        <v>12</v>
      </c>
      <c r="D394" t="s">
        <v>8</v>
      </c>
      <c r="E394">
        <v>76</v>
      </c>
      <c r="F394" t="s">
        <v>82</v>
      </c>
      <c r="G394">
        <v>3.15</v>
      </c>
    </row>
    <row r="395" spans="1:7" hidden="1" outlineLevel="2" x14ac:dyDescent="0.3">
      <c r="A395">
        <v>689</v>
      </c>
      <c r="B395" t="s">
        <v>437</v>
      </c>
      <c r="C395">
        <v>33</v>
      </c>
      <c r="D395" t="s">
        <v>8</v>
      </c>
      <c r="E395">
        <v>76</v>
      </c>
      <c r="F395" t="s">
        <v>82</v>
      </c>
      <c r="G395">
        <v>3.15</v>
      </c>
    </row>
    <row r="396" spans="1:7" outlineLevel="1" collapsed="1" x14ac:dyDescent="0.3">
      <c r="E396" s="1" t="s">
        <v>1424</v>
      </c>
      <c r="F396" t="str">
        <f>F395</f>
        <v>Haunted Bronzed Bludgeon</v>
      </c>
      <c r="G396">
        <f>SUBTOTAL(3,G392:G395)</f>
        <v>4</v>
      </c>
    </row>
    <row r="397" spans="1:7" hidden="1" outlineLevel="2" x14ac:dyDescent="0.3">
      <c r="A397">
        <v>482</v>
      </c>
      <c r="B397" t="s">
        <v>579</v>
      </c>
      <c r="C397">
        <v>32</v>
      </c>
      <c r="D397" t="s">
        <v>39</v>
      </c>
      <c r="E397">
        <v>77</v>
      </c>
      <c r="F397" t="s">
        <v>296</v>
      </c>
      <c r="G397">
        <v>4</v>
      </c>
    </row>
    <row r="398" spans="1:7" hidden="1" outlineLevel="2" x14ac:dyDescent="0.3">
      <c r="A398">
        <v>674</v>
      </c>
      <c r="B398" t="s">
        <v>705</v>
      </c>
      <c r="C398">
        <v>43</v>
      </c>
      <c r="D398" t="s">
        <v>8</v>
      </c>
      <c r="E398">
        <v>77</v>
      </c>
      <c r="F398" t="s">
        <v>296</v>
      </c>
      <c r="G398">
        <v>4</v>
      </c>
    </row>
    <row r="399" spans="1:7" hidden="1" outlineLevel="2" x14ac:dyDescent="0.3">
      <c r="A399">
        <v>186</v>
      </c>
      <c r="B399" t="s">
        <v>295</v>
      </c>
      <c r="C399">
        <v>30</v>
      </c>
      <c r="D399" t="s">
        <v>8</v>
      </c>
      <c r="E399">
        <v>77</v>
      </c>
      <c r="F399" t="s">
        <v>296</v>
      </c>
      <c r="G399">
        <v>4</v>
      </c>
    </row>
    <row r="400" spans="1:7" hidden="1" outlineLevel="2" x14ac:dyDescent="0.3">
      <c r="A400">
        <v>320</v>
      </c>
      <c r="B400" t="s">
        <v>436</v>
      </c>
      <c r="C400">
        <v>24</v>
      </c>
      <c r="D400" t="s">
        <v>8</v>
      </c>
      <c r="E400">
        <v>77</v>
      </c>
      <c r="F400" t="s">
        <v>296</v>
      </c>
      <c r="G400">
        <v>4</v>
      </c>
    </row>
    <row r="401" spans="1:7" outlineLevel="1" collapsed="1" x14ac:dyDescent="0.3">
      <c r="E401" s="1" t="s">
        <v>1425</v>
      </c>
      <c r="F401" t="str">
        <f>F400</f>
        <v>Piety, Guardian of Riddles</v>
      </c>
      <c r="G401">
        <f>SUBTOTAL(3,G397:G400)</f>
        <v>4</v>
      </c>
    </row>
    <row r="402" spans="1:7" hidden="1" outlineLevel="2" x14ac:dyDescent="0.3">
      <c r="A402">
        <v>206</v>
      </c>
      <c r="B402" t="s">
        <v>321</v>
      </c>
      <c r="C402">
        <v>20</v>
      </c>
      <c r="D402" t="s">
        <v>39</v>
      </c>
      <c r="E402">
        <v>78</v>
      </c>
      <c r="F402" t="s">
        <v>208</v>
      </c>
      <c r="G402">
        <v>4.4000000000000004</v>
      </c>
    </row>
    <row r="403" spans="1:7" hidden="1" outlineLevel="2" x14ac:dyDescent="0.3">
      <c r="A403">
        <v>263</v>
      </c>
      <c r="B403" t="s">
        <v>381</v>
      </c>
      <c r="C403">
        <v>24</v>
      </c>
      <c r="D403" t="s">
        <v>8</v>
      </c>
      <c r="E403">
        <v>78</v>
      </c>
      <c r="F403" t="s">
        <v>208</v>
      </c>
      <c r="G403">
        <v>4.4000000000000004</v>
      </c>
    </row>
    <row r="404" spans="1:7" hidden="1" outlineLevel="2" x14ac:dyDescent="0.3">
      <c r="A404">
        <v>636</v>
      </c>
      <c r="B404" t="s">
        <v>648</v>
      </c>
      <c r="C404">
        <v>22</v>
      </c>
      <c r="D404" t="s">
        <v>8</v>
      </c>
      <c r="E404">
        <v>78</v>
      </c>
      <c r="F404" t="s">
        <v>208</v>
      </c>
      <c r="G404">
        <v>4.4000000000000004</v>
      </c>
    </row>
    <row r="405" spans="1:7" hidden="1" outlineLevel="2" x14ac:dyDescent="0.3">
      <c r="A405">
        <v>687</v>
      </c>
      <c r="B405" t="s">
        <v>710</v>
      </c>
      <c r="C405">
        <v>35</v>
      </c>
      <c r="D405" t="s">
        <v>8</v>
      </c>
      <c r="E405">
        <v>78</v>
      </c>
      <c r="F405" t="s">
        <v>208</v>
      </c>
      <c r="G405">
        <v>4.4000000000000004</v>
      </c>
    </row>
    <row r="406" spans="1:7" hidden="1" outlineLevel="2" x14ac:dyDescent="0.3">
      <c r="A406">
        <v>118</v>
      </c>
      <c r="B406" t="s">
        <v>180</v>
      </c>
      <c r="C406">
        <v>30</v>
      </c>
      <c r="D406" t="s">
        <v>8</v>
      </c>
      <c r="E406">
        <v>78</v>
      </c>
      <c r="F406" t="s">
        <v>208</v>
      </c>
      <c r="G406">
        <v>4.4000000000000004</v>
      </c>
    </row>
    <row r="407" spans="1:7" hidden="1" outlineLevel="2" x14ac:dyDescent="0.3">
      <c r="A407">
        <v>692</v>
      </c>
      <c r="B407" t="s">
        <v>711</v>
      </c>
      <c r="C407">
        <v>9</v>
      </c>
      <c r="D407" t="s">
        <v>8</v>
      </c>
      <c r="E407">
        <v>78</v>
      </c>
      <c r="F407" t="s">
        <v>208</v>
      </c>
      <c r="G407">
        <v>4.4000000000000004</v>
      </c>
    </row>
    <row r="408" spans="1:7" hidden="1" outlineLevel="2" x14ac:dyDescent="0.3">
      <c r="A408">
        <v>616</v>
      </c>
      <c r="B408" t="s">
        <v>666</v>
      </c>
      <c r="C408">
        <v>20</v>
      </c>
      <c r="D408" t="s">
        <v>8</v>
      </c>
      <c r="E408">
        <v>78</v>
      </c>
      <c r="F408" t="s">
        <v>208</v>
      </c>
      <c r="G408">
        <v>4.4000000000000004</v>
      </c>
    </row>
    <row r="409" spans="1:7" outlineLevel="1" collapsed="1" x14ac:dyDescent="0.3">
      <c r="E409" s="1" t="s">
        <v>1426</v>
      </c>
      <c r="F409" t="str">
        <f>F408</f>
        <v>Glimmer, Ender of the Moon</v>
      </c>
      <c r="G409">
        <f>SUBTOTAL(3,G402:G408)</f>
        <v>7</v>
      </c>
    </row>
    <row r="410" spans="1:7" hidden="1" outlineLevel="2" x14ac:dyDescent="0.3">
      <c r="A410">
        <v>754</v>
      </c>
      <c r="B410" t="s">
        <v>630</v>
      </c>
      <c r="C410">
        <v>23</v>
      </c>
      <c r="D410" t="s">
        <v>39</v>
      </c>
      <c r="E410">
        <v>79</v>
      </c>
      <c r="F410" t="s">
        <v>467</v>
      </c>
      <c r="G410">
        <v>4.05</v>
      </c>
    </row>
    <row r="411" spans="1:7" hidden="1" outlineLevel="2" x14ac:dyDescent="0.3">
      <c r="A411">
        <v>352</v>
      </c>
      <c r="B411" t="s">
        <v>466</v>
      </c>
      <c r="C411">
        <v>22</v>
      </c>
      <c r="D411" t="s">
        <v>8</v>
      </c>
      <c r="E411">
        <v>79</v>
      </c>
      <c r="F411" t="s">
        <v>467</v>
      </c>
      <c r="G411">
        <v>4.05</v>
      </c>
    </row>
    <row r="412" spans="1:7" hidden="1" outlineLevel="2" x14ac:dyDescent="0.3">
      <c r="A412">
        <v>496</v>
      </c>
      <c r="B412" t="s">
        <v>590</v>
      </c>
      <c r="C412">
        <v>23</v>
      </c>
      <c r="D412" t="s">
        <v>8</v>
      </c>
      <c r="E412">
        <v>79</v>
      </c>
      <c r="F412" t="s">
        <v>467</v>
      </c>
      <c r="G412">
        <v>4.05</v>
      </c>
    </row>
    <row r="413" spans="1:7" outlineLevel="1" collapsed="1" x14ac:dyDescent="0.3">
      <c r="E413" s="1" t="s">
        <v>1427</v>
      </c>
      <c r="F413" t="str">
        <f>F412</f>
        <v>Alpha, Oath of Zeal</v>
      </c>
      <c r="G413">
        <f>SUBTOTAL(3,G410:G412)</f>
        <v>3</v>
      </c>
    </row>
    <row r="414" spans="1:7" hidden="1" outlineLevel="2" x14ac:dyDescent="0.3">
      <c r="A414">
        <v>607</v>
      </c>
      <c r="B414" t="s">
        <v>662</v>
      </c>
      <c r="C414">
        <v>15</v>
      </c>
      <c r="D414" t="s">
        <v>39</v>
      </c>
      <c r="E414">
        <v>80</v>
      </c>
      <c r="F414" t="s">
        <v>119</v>
      </c>
      <c r="G414">
        <v>3.39</v>
      </c>
    </row>
    <row r="415" spans="1:7" hidden="1" outlineLevel="2" x14ac:dyDescent="0.3">
      <c r="A415">
        <v>436</v>
      </c>
      <c r="B415" t="s">
        <v>160</v>
      </c>
      <c r="C415">
        <v>32</v>
      </c>
      <c r="D415" t="s">
        <v>39</v>
      </c>
      <c r="E415">
        <v>80</v>
      </c>
      <c r="F415" t="s">
        <v>119</v>
      </c>
      <c r="G415">
        <v>3.39</v>
      </c>
    </row>
    <row r="416" spans="1:7" hidden="1" outlineLevel="2" x14ac:dyDescent="0.3">
      <c r="A416">
        <v>633</v>
      </c>
      <c r="B416" t="s">
        <v>597</v>
      </c>
      <c r="C416">
        <v>22</v>
      </c>
      <c r="D416" t="s">
        <v>8</v>
      </c>
      <c r="E416">
        <v>80</v>
      </c>
      <c r="F416" t="s">
        <v>119</v>
      </c>
      <c r="G416">
        <v>3.39</v>
      </c>
    </row>
    <row r="417" spans="1:7" hidden="1" outlineLevel="2" x14ac:dyDescent="0.3">
      <c r="A417">
        <v>57</v>
      </c>
      <c r="B417" t="s">
        <v>118</v>
      </c>
      <c r="C417">
        <v>21</v>
      </c>
      <c r="D417" t="s">
        <v>8</v>
      </c>
      <c r="E417">
        <v>80</v>
      </c>
      <c r="F417" t="s">
        <v>119</v>
      </c>
      <c r="G417">
        <v>3.39</v>
      </c>
    </row>
    <row r="418" spans="1:7" hidden="1" outlineLevel="2" x14ac:dyDescent="0.3">
      <c r="A418">
        <v>228</v>
      </c>
      <c r="B418" t="s">
        <v>342</v>
      </c>
      <c r="C418">
        <v>20</v>
      </c>
      <c r="D418" t="s">
        <v>27</v>
      </c>
      <c r="E418">
        <v>80</v>
      </c>
      <c r="F418" t="s">
        <v>119</v>
      </c>
      <c r="G418">
        <v>3.39</v>
      </c>
    </row>
    <row r="419" spans="1:7" outlineLevel="1" collapsed="1" x14ac:dyDescent="0.3">
      <c r="E419" s="1" t="s">
        <v>1428</v>
      </c>
      <c r="F419" t="str">
        <f>F418</f>
        <v>Dreamsong</v>
      </c>
      <c r="G419">
        <f>SUBTOTAL(3,G414:G418)</f>
        <v>5</v>
      </c>
    </row>
    <row r="420" spans="1:7" hidden="1" outlineLevel="2" x14ac:dyDescent="0.3">
      <c r="A420">
        <v>123</v>
      </c>
      <c r="B420" t="s">
        <v>214</v>
      </c>
      <c r="C420">
        <v>27</v>
      </c>
      <c r="D420" t="s">
        <v>8</v>
      </c>
      <c r="E420">
        <v>81</v>
      </c>
      <c r="F420" t="s">
        <v>19</v>
      </c>
      <c r="G420">
        <v>3.61</v>
      </c>
    </row>
    <row r="421" spans="1:7" hidden="1" outlineLevel="2" x14ac:dyDescent="0.3">
      <c r="A421">
        <v>5</v>
      </c>
      <c r="B421" t="s">
        <v>18</v>
      </c>
      <c r="C421">
        <v>22</v>
      </c>
      <c r="D421" t="s">
        <v>8</v>
      </c>
      <c r="E421">
        <v>81</v>
      </c>
      <c r="F421" t="s">
        <v>19</v>
      </c>
      <c r="G421">
        <v>3.61</v>
      </c>
    </row>
    <row r="422" spans="1:7" outlineLevel="1" collapsed="1" x14ac:dyDescent="0.3">
      <c r="E422" s="1" t="s">
        <v>1429</v>
      </c>
      <c r="F422" t="str">
        <f>F421</f>
        <v>Dreamkiss</v>
      </c>
      <c r="G422">
        <f>SUBTOTAL(3,G420:G421)</f>
        <v>2</v>
      </c>
    </row>
    <row r="423" spans="1:7" hidden="1" outlineLevel="2" x14ac:dyDescent="0.3">
      <c r="A423">
        <v>274</v>
      </c>
      <c r="B423" t="s">
        <v>390</v>
      </c>
      <c r="C423">
        <v>29</v>
      </c>
      <c r="D423" t="s">
        <v>39</v>
      </c>
      <c r="E423">
        <v>82</v>
      </c>
      <c r="F423" t="s">
        <v>46</v>
      </c>
      <c r="G423">
        <v>4.9000000000000004</v>
      </c>
    </row>
    <row r="424" spans="1:7" hidden="1" outlineLevel="2" x14ac:dyDescent="0.3">
      <c r="A424">
        <v>666</v>
      </c>
      <c r="B424" t="s">
        <v>698</v>
      </c>
      <c r="C424">
        <v>20</v>
      </c>
      <c r="D424" t="s">
        <v>39</v>
      </c>
      <c r="E424">
        <v>82</v>
      </c>
      <c r="F424" t="s">
        <v>46</v>
      </c>
      <c r="G424">
        <v>4.9000000000000004</v>
      </c>
    </row>
    <row r="425" spans="1:7" hidden="1" outlineLevel="2" x14ac:dyDescent="0.3">
      <c r="A425">
        <v>504</v>
      </c>
      <c r="B425" t="s">
        <v>464</v>
      </c>
      <c r="C425">
        <v>23</v>
      </c>
      <c r="D425" t="s">
        <v>39</v>
      </c>
      <c r="E425">
        <v>82</v>
      </c>
      <c r="F425" t="s">
        <v>46</v>
      </c>
      <c r="G425">
        <v>4.9000000000000004</v>
      </c>
    </row>
    <row r="426" spans="1:7" hidden="1" outlineLevel="2" x14ac:dyDescent="0.3">
      <c r="A426">
        <v>18</v>
      </c>
      <c r="B426" t="s">
        <v>45</v>
      </c>
      <c r="C426">
        <v>22</v>
      </c>
      <c r="D426" t="s">
        <v>39</v>
      </c>
      <c r="E426">
        <v>82</v>
      </c>
      <c r="F426" t="s">
        <v>46</v>
      </c>
      <c r="G426">
        <v>4.9000000000000004</v>
      </c>
    </row>
    <row r="427" spans="1:7" hidden="1" outlineLevel="2" x14ac:dyDescent="0.3">
      <c r="A427">
        <v>247</v>
      </c>
      <c r="B427" t="s">
        <v>245</v>
      </c>
      <c r="C427">
        <v>20</v>
      </c>
      <c r="D427" t="s">
        <v>8</v>
      </c>
      <c r="E427">
        <v>82</v>
      </c>
      <c r="F427" t="s">
        <v>46</v>
      </c>
      <c r="G427">
        <v>4.9000000000000004</v>
      </c>
    </row>
    <row r="428" spans="1:7" hidden="1" outlineLevel="2" x14ac:dyDescent="0.3">
      <c r="A428">
        <v>88</v>
      </c>
      <c r="B428" t="s">
        <v>164</v>
      </c>
      <c r="C428">
        <v>30</v>
      </c>
      <c r="D428" t="s">
        <v>8</v>
      </c>
      <c r="E428">
        <v>82</v>
      </c>
      <c r="F428" t="s">
        <v>46</v>
      </c>
      <c r="G428">
        <v>4.9000000000000004</v>
      </c>
    </row>
    <row r="429" spans="1:7" hidden="1" outlineLevel="2" x14ac:dyDescent="0.3">
      <c r="A429">
        <v>240</v>
      </c>
      <c r="B429" t="s">
        <v>359</v>
      </c>
      <c r="C429">
        <v>16</v>
      </c>
      <c r="D429" t="s">
        <v>8</v>
      </c>
      <c r="E429">
        <v>82</v>
      </c>
      <c r="F429" t="s">
        <v>46</v>
      </c>
      <c r="G429">
        <v>4.9000000000000004</v>
      </c>
    </row>
    <row r="430" spans="1:7" hidden="1" outlineLevel="2" x14ac:dyDescent="0.3">
      <c r="A430">
        <v>522</v>
      </c>
      <c r="B430" t="s">
        <v>606</v>
      </c>
      <c r="C430">
        <v>18</v>
      </c>
      <c r="D430" t="s">
        <v>8</v>
      </c>
      <c r="E430">
        <v>82</v>
      </c>
      <c r="F430" t="s">
        <v>46</v>
      </c>
      <c r="G430">
        <v>4.9000000000000004</v>
      </c>
    </row>
    <row r="431" spans="1:7" hidden="1" outlineLevel="2" x14ac:dyDescent="0.3">
      <c r="A431">
        <v>202</v>
      </c>
      <c r="B431" t="s">
        <v>317</v>
      </c>
      <c r="C431">
        <v>37</v>
      </c>
      <c r="D431" t="s">
        <v>8</v>
      </c>
      <c r="E431">
        <v>82</v>
      </c>
      <c r="F431" t="s">
        <v>46</v>
      </c>
      <c r="G431">
        <v>4.9000000000000004</v>
      </c>
    </row>
    <row r="432" spans="1:7" outlineLevel="1" collapsed="1" x14ac:dyDescent="0.3">
      <c r="E432" s="1" t="s">
        <v>1430</v>
      </c>
      <c r="F432" t="str">
        <f>F431</f>
        <v>Nirvana</v>
      </c>
      <c r="G432">
        <f>SUBTOTAL(3,G423:G431)</f>
        <v>9</v>
      </c>
    </row>
    <row r="433" spans="1:7" hidden="1" outlineLevel="2" x14ac:dyDescent="0.3">
      <c r="A433">
        <v>289</v>
      </c>
      <c r="B433" t="s">
        <v>408</v>
      </c>
      <c r="C433">
        <v>25</v>
      </c>
      <c r="D433" t="s">
        <v>39</v>
      </c>
      <c r="E433">
        <v>83</v>
      </c>
      <c r="F433" t="s">
        <v>363</v>
      </c>
      <c r="G433">
        <v>3.33</v>
      </c>
    </row>
    <row r="434" spans="1:7" hidden="1" outlineLevel="2" x14ac:dyDescent="0.3">
      <c r="A434">
        <v>381</v>
      </c>
      <c r="B434" t="s">
        <v>494</v>
      </c>
      <c r="C434">
        <v>16</v>
      </c>
      <c r="D434" t="s">
        <v>8</v>
      </c>
      <c r="E434">
        <v>83</v>
      </c>
      <c r="F434" t="s">
        <v>363</v>
      </c>
      <c r="G434">
        <v>3.33</v>
      </c>
    </row>
    <row r="435" spans="1:7" hidden="1" outlineLevel="2" x14ac:dyDescent="0.3">
      <c r="A435">
        <v>562</v>
      </c>
      <c r="B435" t="s">
        <v>633</v>
      </c>
      <c r="C435">
        <v>30</v>
      </c>
      <c r="D435" t="s">
        <v>8</v>
      </c>
      <c r="E435">
        <v>83</v>
      </c>
      <c r="F435" t="s">
        <v>363</v>
      </c>
      <c r="G435">
        <v>3.33</v>
      </c>
    </row>
    <row r="436" spans="1:7" hidden="1" outlineLevel="2" x14ac:dyDescent="0.3">
      <c r="A436">
        <v>243</v>
      </c>
      <c r="B436" t="s">
        <v>362</v>
      </c>
      <c r="C436">
        <v>24</v>
      </c>
      <c r="D436" t="s">
        <v>8</v>
      </c>
      <c r="E436">
        <v>83</v>
      </c>
      <c r="F436" t="s">
        <v>363</v>
      </c>
      <c r="G436">
        <v>3.33</v>
      </c>
    </row>
    <row r="437" spans="1:7" outlineLevel="1" collapsed="1" x14ac:dyDescent="0.3">
      <c r="E437" s="1" t="s">
        <v>1431</v>
      </c>
      <c r="F437" t="str">
        <f>F436</f>
        <v>Lifebender</v>
      </c>
      <c r="G437">
        <f>SUBTOTAL(3,G433:G436)</f>
        <v>4</v>
      </c>
    </row>
    <row r="438" spans="1:7" hidden="1" outlineLevel="2" x14ac:dyDescent="0.3">
      <c r="A438">
        <v>55</v>
      </c>
      <c r="B438" t="s">
        <v>115</v>
      </c>
      <c r="C438">
        <v>25</v>
      </c>
      <c r="D438" t="s">
        <v>39</v>
      </c>
      <c r="E438">
        <v>84</v>
      </c>
      <c r="F438" t="s">
        <v>116</v>
      </c>
      <c r="G438">
        <v>3.79</v>
      </c>
    </row>
    <row r="439" spans="1:7" hidden="1" outlineLevel="2" x14ac:dyDescent="0.3">
      <c r="A439">
        <v>434</v>
      </c>
      <c r="B439" t="s">
        <v>538</v>
      </c>
      <c r="C439">
        <v>20</v>
      </c>
      <c r="D439" t="s">
        <v>8</v>
      </c>
      <c r="E439">
        <v>84</v>
      </c>
      <c r="F439" t="s">
        <v>116</v>
      </c>
      <c r="G439">
        <v>3.79</v>
      </c>
    </row>
    <row r="440" spans="1:7" hidden="1" outlineLevel="2" x14ac:dyDescent="0.3">
      <c r="A440">
        <v>442</v>
      </c>
      <c r="B440" t="s">
        <v>43</v>
      </c>
      <c r="C440">
        <v>21</v>
      </c>
      <c r="D440" t="s">
        <v>8</v>
      </c>
      <c r="E440">
        <v>84</v>
      </c>
      <c r="F440" t="s">
        <v>116</v>
      </c>
      <c r="G440">
        <v>3.79</v>
      </c>
    </row>
    <row r="441" spans="1:7" outlineLevel="1" collapsed="1" x14ac:dyDescent="0.3">
      <c r="E441" s="1" t="s">
        <v>1432</v>
      </c>
      <c r="F441" t="str">
        <f>F440</f>
        <v>Arcane Gem</v>
      </c>
      <c r="G441">
        <f>SUBTOTAL(3,G438:G440)</f>
        <v>3</v>
      </c>
    </row>
    <row r="442" spans="1:7" hidden="1" outlineLevel="2" x14ac:dyDescent="0.3">
      <c r="A442">
        <v>270</v>
      </c>
      <c r="B442" t="s">
        <v>386</v>
      </c>
      <c r="C442">
        <v>38</v>
      </c>
      <c r="D442" t="s">
        <v>8</v>
      </c>
      <c r="E442">
        <v>85</v>
      </c>
      <c r="F442" t="s">
        <v>193</v>
      </c>
      <c r="G442">
        <v>1.75</v>
      </c>
    </row>
    <row r="443" spans="1:7" hidden="1" outlineLevel="2" x14ac:dyDescent="0.3">
      <c r="A443">
        <v>585</v>
      </c>
      <c r="B443" t="s">
        <v>648</v>
      </c>
      <c r="C443">
        <v>22</v>
      </c>
      <c r="D443" t="s">
        <v>8</v>
      </c>
      <c r="E443">
        <v>85</v>
      </c>
      <c r="F443" t="s">
        <v>193</v>
      </c>
      <c r="G443">
        <v>1.75</v>
      </c>
    </row>
    <row r="444" spans="1:7" hidden="1" outlineLevel="2" x14ac:dyDescent="0.3">
      <c r="A444">
        <v>168</v>
      </c>
      <c r="B444" t="s">
        <v>22</v>
      </c>
      <c r="C444">
        <v>20</v>
      </c>
      <c r="D444" t="s">
        <v>8</v>
      </c>
      <c r="E444">
        <v>85</v>
      </c>
      <c r="F444" t="s">
        <v>193</v>
      </c>
      <c r="G444">
        <v>1.75</v>
      </c>
    </row>
    <row r="445" spans="1:7" hidden="1" outlineLevel="2" x14ac:dyDescent="0.3">
      <c r="A445">
        <v>763</v>
      </c>
      <c r="B445" t="s">
        <v>205</v>
      </c>
      <c r="C445">
        <v>21</v>
      </c>
      <c r="D445" t="s">
        <v>8</v>
      </c>
      <c r="E445">
        <v>85</v>
      </c>
      <c r="F445" t="s">
        <v>193</v>
      </c>
      <c r="G445">
        <v>1.75</v>
      </c>
    </row>
    <row r="446" spans="1:7" hidden="1" outlineLevel="2" x14ac:dyDescent="0.3">
      <c r="A446">
        <v>245</v>
      </c>
      <c r="B446" t="s">
        <v>7</v>
      </c>
      <c r="C446">
        <v>20</v>
      </c>
      <c r="D446" t="s">
        <v>8</v>
      </c>
      <c r="E446">
        <v>85</v>
      </c>
      <c r="F446" t="s">
        <v>193</v>
      </c>
      <c r="G446">
        <v>1.75</v>
      </c>
    </row>
    <row r="447" spans="1:7" hidden="1" outlineLevel="2" x14ac:dyDescent="0.3">
      <c r="A447">
        <v>374</v>
      </c>
      <c r="B447" t="s">
        <v>487</v>
      </c>
      <c r="C447">
        <v>16</v>
      </c>
      <c r="D447" t="s">
        <v>8</v>
      </c>
      <c r="E447">
        <v>85</v>
      </c>
      <c r="F447" t="s">
        <v>193</v>
      </c>
      <c r="G447">
        <v>1.75</v>
      </c>
    </row>
    <row r="448" spans="1:7" hidden="1" outlineLevel="2" x14ac:dyDescent="0.3">
      <c r="A448">
        <v>108</v>
      </c>
      <c r="B448" t="s">
        <v>192</v>
      </c>
      <c r="C448">
        <v>19</v>
      </c>
      <c r="D448" t="s">
        <v>8</v>
      </c>
      <c r="E448">
        <v>85</v>
      </c>
      <c r="F448" t="s">
        <v>193</v>
      </c>
      <c r="G448">
        <v>1.75</v>
      </c>
    </row>
    <row r="449" spans="1:7" outlineLevel="1" collapsed="1" x14ac:dyDescent="0.3">
      <c r="E449" s="1" t="s">
        <v>1433</v>
      </c>
      <c r="F449" t="str">
        <f>F448</f>
        <v>Malificent Bag</v>
      </c>
      <c r="G449">
        <f>SUBTOTAL(3,G442:G448)</f>
        <v>7</v>
      </c>
    </row>
    <row r="450" spans="1:7" hidden="1" outlineLevel="2" x14ac:dyDescent="0.3">
      <c r="A450">
        <v>639</v>
      </c>
      <c r="B450" t="s">
        <v>678</v>
      </c>
      <c r="C450">
        <v>27</v>
      </c>
      <c r="D450" t="s">
        <v>8</v>
      </c>
      <c r="E450">
        <v>86</v>
      </c>
      <c r="F450" t="s">
        <v>521</v>
      </c>
      <c r="G450">
        <v>2.27</v>
      </c>
    </row>
    <row r="451" spans="1:7" hidden="1" outlineLevel="2" x14ac:dyDescent="0.3">
      <c r="A451">
        <v>412</v>
      </c>
      <c r="B451" t="s">
        <v>520</v>
      </c>
      <c r="C451">
        <v>32</v>
      </c>
      <c r="D451" t="s">
        <v>8</v>
      </c>
      <c r="E451">
        <v>86</v>
      </c>
      <c r="F451" t="s">
        <v>521</v>
      </c>
      <c r="G451">
        <v>2.27</v>
      </c>
    </row>
    <row r="452" spans="1:7" hidden="1" outlineLevel="2" x14ac:dyDescent="0.3">
      <c r="A452">
        <v>597</v>
      </c>
      <c r="B452" t="s">
        <v>502</v>
      </c>
      <c r="C452">
        <v>15</v>
      </c>
      <c r="D452" t="s">
        <v>8</v>
      </c>
      <c r="E452">
        <v>86</v>
      </c>
      <c r="F452" t="s">
        <v>521</v>
      </c>
      <c r="G452">
        <v>2.27</v>
      </c>
    </row>
    <row r="453" spans="1:7" outlineLevel="1" collapsed="1" x14ac:dyDescent="0.3">
      <c r="E453" s="1" t="s">
        <v>1434</v>
      </c>
      <c r="F453" t="str">
        <f>F452</f>
        <v>Stormfury Lantern</v>
      </c>
      <c r="G453">
        <f>SUBTOTAL(3,G450:G452)</f>
        <v>3</v>
      </c>
    </row>
    <row r="454" spans="1:7" hidden="1" outlineLevel="2" x14ac:dyDescent="0.3">
      <c r="A454">
        <v>569</v>
      </c>
      <c r="B454" t="s">
        <v>284</v>
      </c>
      <c r="C454">
        <v>20</v>
      </c>
      <c r="D454" t="s">
        <v>39</v>
      </c>
      <c r="E454">
        <v>87</v>
      </c>
      <c r="F454" t="s">
        <v>210</v>
      </c>
      <c r="G454">
        <v>4.43</v>
      </c>
    </row>
    <row r="455" spans="1:7" hidden="1" outlineLevel="2" x14ac:dyDescent="0.3">
      <c r="A455">
        <v>119</v>
      </c>
      <c r="B455" t="s">
        <v>209</v>
      </c>
      <c r="C455">
        <v>15</v>
      </c>
      <c r="D455" t="s">
        <v>39</v>
      </c>
      <c r="E455">
        <v>87</v>
      </c>
      <c r="F455" t="s">
        <v>210</v>
      </c>
      <c r="G455">
        <v>4.43</v>
      </c>
    </row>
    <row r="456" spans="1:7" hidden="1" outlineLevel="2" x14ac:dyDescent="0.3">
      <c r="A456">
        <v>191</v>
      </c>
      <c r="B456" t="s">
        <v>304</v>
      </c>
      <c r="C456">
        <v>23</v>
      </c>
      <c r="D456" t="s">
        <v>8</v>
      </c>
      <c r="E456">
        <v>87</v>
      </c>
      <c r="F456" t="s">
        <v>210</v>
      </c>
      <c r="G456">
        <v>4.43</v>
      </c>
    </row>
    <row r="457" spans="1:7" hidden="1" outlineLevel="2" x14ac:dyDescent="0.3">
      <c r="A457">
        <v>250</v>
      </c>
      <c r="B457" t="s">
        <v>368</v>
      </c>
      <c r="C457">
        <v>23</v>
      </c>
      <c r="D457" t="s">
        <v>8</v>
      </c>
      <c r="E457">
        <v>87</v>
      </c>
      <c r="F457" t="s">
        <v>210</v>
      </c>
      <c r="G457">
        <v>4.43</v>
      </c>
    </row>
    <row r="458" spans="1:7" hidden="1" outlineLevel="2" x14ac:dyDescent="0.3">
      <c r="A458">
        <v>696</v>
      </c>
      <c r="B458" t="s">
        <v>713</v>
      </c>
      <c r="C458">
        <v>30</v>
      </c>
      <c r="D458" t="s">
        <v>8</v>
      </c>
      <c r="E458">
        <v>87</v>
      </c>
      <c r="F458" t="s">
        <v>210</v>
      </c>
      <c r="G458">
        <v>4.43</v>
      </c>
    </row>
    <row r="459" spans="1:7" outlineLevel="1" collapsed="1" x14ac:dyDescent="0.3">
      <c r="E459" s="1" t="s">
        <v>1435</v>
      </c>
      <c r="F459" t="str">
        <f>F458</f>
        <v>Deluge, Edge of the West</v>
      </c>
      <c r="G459">
        <f>SUBTOTAL(3,G454:G458)</f>
        <v>5</v>
      </c>
    </row>
    <row r="460" spans="1:7" hidden="1" outlineLevel="2" x14ac:dyDescent="0.3">
      <c r="A460">
        <v>76</v>
      </c>
      <c r="B460" t="s">
        <v>147</v>
      </c>
      <c r="C460">
        <v>13</v>
      </c>
      <c r="D460" t="s">
        <v>39</v>
      </c>
      <c r="E460">
        <v>88</v>
      </c>
      <c r="F460" t="s">
        <v>148</v>
      </c>
      <c r="G460">
        <v>3.75</v>
      </c>
    </row>
    <row r="461" spans="1:7" hidden="1" outlineLevel="2" x14ac:dyDescent="0.3">
      <c r="A461">
        <v>693</v>
      </c>
      <c r="B461" t="s">
        <v>712</v>
      </c>
      <c r="C461">
        <v>23</v>
      </c>
      <c r="D461" t="s">
        <v>8</v>
      </c>
      <c r="E461">
        <v>88</v>
      </c>
      <c r="F461" t="s">
        <v>148</v>
      </c>
      <c r="G461">
        <v>3.75</v>
      </c>
    </row>
    <row r="462" spans="1:7" hidden="1" outlineLevel="2" x14ac:dyDescent="0.3">
      <c r="A462">
        <v>188</v>
      </c>
      <c r="B462" t="s">
        <v>299</v>
      </c>
      <c r="C462">
        <v>18</v>
      </c>
      <c r="D462" t="s">
        <v>8</v>
      </c>
      <c r="E462">
        <v>88</v>
      </c>
      <c r="F462" t="s">
        <v>148</v>
      </c>
      <c r="G462">
        <v>3.75</v>
      </c>
    </row>
    <row r="463" spans="1:7" hidden="1" outlineLevel="2" x14ac:dyDescent="0.3">
      <c r="A463">
        <v>364</v>
      </c>
      <c r="B463" t="s">
        <v>479</v>
      </c>
      <c r="C463">
        <v>22</v>
      </c>
      <c r="D463" t="s">
        <v>8</v>
      </c>
      <c r="E463">
        <v>88</v>
      </c>
      <c r="F463" t="s">
        <v>148</v>
      </c>
      <c r="G463">
        <v>3.75</v>
      </c>
    </row>
    <row r="464" spans="1:7" hidden="1" outlineLevel="2" x14ac:dyDescent="0.3">
      <c r="A464">
        <v>93</v>
      </c>
      <c r="B464" t="s">
        <v>172</v>
      </c>
      <c r="C464">
        <v>22</v>
      </c>
      <c r="D464" t="s">
        <v>8</v>
      </c>
      <c r="E464">
        <v>88</v>
      </c>
      <c r="F464" t="s">
        <v>148</v>
      </c>
      <c r="G464">
        <v>3.75</v>
      </c>
    </row>
    <row r="465" spans="1:7" outlineLevel="1" collapsed="1" x14ac:dyDescent="0.3">
      <c r="E465" s="1" t="s">
        <v>1436</v>
      </c>
      <c r="F465" t="str">
        <f>F464</f>
        <v>Emberling, Defender of Delusions</v>
      </c>
      <c r="G465">
        <f>SUBTOTAL(3,G460:G464)</f>
        <v>5</v>
      </c>
    </row>
    <row r="466" spans="1:7" hidden="1" outlineLevel="2" x14ac:dyDescent="0.3">
      <c r="A466">
        <v>19</v>
      </c>
      <c r="B466" t="s">
        <v>47</v>
      </c>
      <c r="C466">
        <v>30</v>
      </c>
      <c r="D466" t="s">
        <v>8</v>
      </c>
      <c r="E466">
        <v>89</v>
      </c>
      <c r="F466" t="s">
        <v>48</v>
      </c>
      <c r="G466">
        <v>4.6399999999999997</v>
      </c>
    </row>
    <row r="467" spans="1:7" hidden="1" outlineLevel="2" x14ac:dyDescent="0.3">
      <c r="A467">
        <v>594</v>
      </c>
      <c r="B467" t="s">
        <v>655</v>
      </c>
      <c r="C467">
        <v>27</v>
      </c>
      <c r="D467" t="s">
        <v>8</v>
      </c>
      <c r="E467">
        <v>89</v>
      </c>
      <c r="F467" t="s">
        <v>48</v>
      </c>
      <c r="G467">
        <v>4.6399999999999997</v>
      </c>
    </row>
    <row r="468" spans="1:7" hidden="1" outlineLevel="2" x14ac:dyDescent="0.3">
      <c r="A468">
        <v>74</v>
      </c>
      <c r="B468" t="s">
        <v>144</v>
      </c>
      <c r="C468">
        <v>25</v>
      </c>
      <c r="D468" t="s">
        <v>8</v>
      </c>
      <c r="E468">
        <v>89</v>
      </c>
      <c r="F468" t="s">
        <v>48</v>
      </c>
      <c r="G468">
        <v>4.6399999999999997</v>
      </c>
    </row>
    <row r="469" spans="1:7" outlineLevel="1" collapsed="1" x14ac:dyDescent="0.3">
      <c r="E469" s="1" t="s">
        <v>1437</v>
      </c>
      <c r="F469" t="str">
        <f>F468</f>
        <v>Blazefury, Protector of Delusions</v>
      </c>
      <c r="G469">
        <f>SUBTOTAL(3,G466:G468)</f>
        <v>3</v>
      </c>
    </row>
    <row r="470" spans="1:7" hidden="1" outlineLevel="2" x14ac:dyDescent="0.3">
      <c r="A470">
        <v>700</v>
      </c>
      <c r="B470" t="s">
        <v>316</v>
      </c>
      <c r="C470">
        <v>31</v>
      </c>
      <c r="D470" t="s">
        <v>8</v>
      </c>
      <c r="E470">
        <v>90</v>
      </c>
      <c r="F470" t="s">
        <v>717</v>
      </c>
      <c r="G470">
        <v>2.94</v>
      </c>
    </row>
    <row r="471" spans="1:7" outlineLevel="1" collapsed="1" x14ac:dyDescent="0.3">
      <c r="E471" s="1" t="s">
        <v>1438</v>
      </c>
      <c r="F471" t="str">
        <f>F470</f>
        <v>Betrayer</v>
      </c>
      <c r="G471">
        <f>SUBTOTAL(3,G470:G470)</f>
        <v>1</v>
      </c>
    </row>
    <row r="472" spans="1:7" hidden="1" outlineLevel="2" x14ac:dyDescent="0.3">
      <c r="A472">
        <v>318</v>
      </c>
      <c r="B472" t="s">
        <v>245</v>
      </c>
      <c r="C472">
        <v>20</v>
      </c>
      <c r="D472" t="s">
        <v>8</v>
      </c>
      <c r="E472">
        <v>91</v>
      </c>
      <c r="F472" t="s">
        <v>435</v>
      </c>
      <c r="G472">
        <v>4.17</v>
      </c>
    </row>
    <row r="473" spans="1:7" outlineLevel="1" collapsed="1" x14ac:dyDescent="0.3">
      <c r="E473" s="1" t="s">
        <v>1439</v>
      </c>
      <c r="F473" t="str">
        <f>F472</f>
        <v>Celeste</v>
      </c>
      <c r="G473">
        <f>SUBTOTAL(3,G472:G472)</f>
        <v>1</v>
      </c>
    </row>
    <row r="474" spans="1:7" hidden="1" outlineLevel="2" x14ac:dyDescent="0.3">
      <c r="A474">
        <v>767</v>
      </c>
      <c r="B474" t="s">
        <v>456</v>
      </c>
      <c r="C474">
        <v>8</v>
      </c>
      <c r="D474" t="s">
        <v>39</v>
      </c>
      <c r="E474">
        <v>92</v>
      </c>
      <c r="F474" t="s">
        <v>13</v>
      </c>
      <c r="G474">
        <v>4.88</v>
      </c>
    </row>
    <row r="475" spans="1:7" hidden="1" outlineLevel="2" x14ac:dyDescent="0.3">
      <c r="A475">
        <v>273</v>
      </c>
      <c r="B475" t="s">
        <v>200</v>
      </c>
      <c r="C475">
        <v>15</v>
      </c>
      <c r="D475" t="s">
        <v>39</v>
      </c>
      <c r="E475">
        <v>92</v>
      </c>
      <c r="F475" t="s">
        <v>13</v>
      </c>
      <c r="G475">
        <v>4.88</v>
      </c>
    </row>
    <row r="476" spans="1:7" hidden="1" outlineLevel="2" x14ac:dyDescent="0.3">
      <c r="A476">
        <v>768</v>
      </c>
      <c r="B476" t="s">
        <v>386</v>
      </c>
      <c r="C476">
        <v>38</v>
      </c>
      <c r="D476" t="s">
        <v>8</v>
      </c>
      <c r="E476">
        <v>92</v>
      </c>
      <c r="F476" t="s">
        <v>13</v>
      </c>
      <c r="G476">
        <v>4.88</v>
      </c>
    </row>
    <row r="477" spans="1:7" hidden="1" outlineLevel="2" x14ac:dyDescent="0.3">
      <c r="A477">
        <v>277</v>
      </c>
      <c r="B477" t="s">
        <v>393</v>
      </c>
      <c r="C477">
        <v>24</v>
      </c>
      <c r="D477" t="s">
        <v>8</v>
      </c>
      <c r="E477">
        <v>92</v>
      </c>
      <c r="F477" t="s">
        <v>13</v>
      </c>
      <c r="G477">
        <v>4.88</v>
      </c>
    </row>
    <row r="478" spans="1:7" hidden="1" outlineLevel="2" x14ac:dyDescent="0.3">
      <c r="A478">
        <v>722</v>
      </c>
      <c r="B478" t="s">
        <v>466</v>
      </c>
      <c r="C478">
        <v>22</v>
      </c>
      <c r="D478" t="s">
        <v>8</v>
      </c>
      <c r="E478">
        <v>92</v>
      </c>
      <c r="F478" t="s">
        <v>13</v>
      </c>
      <c r="G478">
        <v>4.88</v>
      </c>
    </row>
    <row r="479" spans="1:7" hidden="1" outlineLevel="2" x14ac:dyDescent="0.3">
      <c r="A479">
        <v>2</v>
      </c>
      <c r="B479" t="s">
        <v>12</v>
      </c>
      <c r="C479">
        <v>24</v>
      </c>
      <c r="D479" t="s">
        <v>8</v>
      </c>
      <c r="E479">
        <v>92</v>
      </c>
      <c r="F479" t="s">
        <v>13</v>
      </c>
      <c r="G479">
        <v>4.88</v>
      </c>
    </row>
    <row r="480" spans="1:7" hidden="1" outlineLevel="2" x14ac:dyDescent="0.3">
      <c r="A480">
        <v>712</v>
      </c>
      <c r="B480" t="s">
        <v>725</v>
      </c>
      <c r="C480">
        <v>25</v>
      </c>
      <c r="D480" t="s">
        <v>8</v>
      </c>
      <c r="E480">
        <v>92</v>
      </c>
      <c r="F480" t="s">
        <v>13</v>
      </c>
      <c r="G480">
        <v>4.88</v>
      </c>
    </row>
    <row r="481" spans="1:7" hidden="1" outlineLevel="2" x14ac:dyDescent="0.3">
      <c r="A481">
        <v>252</v>
      </c>
      <c r="B481" t="s">
        <v>370</v>
      </c>
      <c r="C481">
        <v>39</v>
      </c>
      <c r="D481" t="s">
        <v>8</v>
      </c>
      <c r="E481">
        <v>92</v>
      </c>
      <c r="F481" t="s">
        <v>13</v>
      </c>
      <c r="G481">
        <v>4.88</v>
      </c>
    </row>
    <row r="482" spans="1:7" outlineLevel="1" collapsed="1" x14ac:dyDescent="0.3">
      <c r="E482" s="1" t="s">
        <v>1440</v>
      </c>
      <c r="F482" t="str">
        <f>F481</f>
        <v>Final Critic</v>
      </c>
      <c r="G482">
        <f>SUBTOTAL(3,G474:G481)</f>
        <v>8</v>
      </c>
    </row>
    <row r="483" spans="1:7" hidden="1" outlineLevel="2" x14ac:dyDescent="0.3">
      <c r="A483">
        <v>728</v>
      </c>
      <c r="B483" t="s">
        <v>735</v>
      </c>
      <c r="C483">
        <v>44</v>
      </c>
      <c r="D483" t="s">
        <v>8</v>
      </c>
      <c r="E483">
        <v>93</v>
      </c>
      <c r="F483" t="s">
        <v>523</v>
      </c>
      <c r="G483">
        <v>1.97</v>
      </c>
    </row>
    <row r="484" spans="1:7" hidden="1" outlineLevel="2" x14ac:dyDescent="0.3">
      <c r="A484">
        <v>643</v>
      </c>
      <c r="B484" t="s">
        <v>682</v>
      </c>
      <c r="C484">
        <v>21</v>
      </c>
      <c r="D484" t="s">
        <v>8</v>
      </c>
      <c r="E484">
        <v>93</v>
      </c>
      <c r="F484" t="s">
        <v>523</v>
      </c>
      <c r="G484">
        <v>1.97</v>
      </c>
    </row>
    <row r="485" spans="1:7" hidden="1" outlineLevel="2" x14ac:dyDescent="0.3">
      <c r="A485">
        <v>601</v>
      </c>
      <c r="B485" t="s">
        <v>659</v>
      </c>
      <c r="C485">
        <v>11</v>
      </c>
      <c r="D485" t="s">
        <v>8</v>
      </c>
      <c r="E485">
        <v>93</v>
      </c>
      <c r="F485" t="s">
        <v>523</v>
      </c>
      <c r="G485">
        <v>1.97</v>
      </c>
    </row>
    <row r="486" spans="1:7" hidden="1" outlineLevel="2" x14ac:dyDescent="0.3">
      <c r="A486">
        <v>435</v>
      </c>
      <c r="B486" t="s">
        <v>539</v>
      </c>
      <c r="C486">
        <v>21</v>
      </c>
      <c r="D486" t="s">
        <v>8</v>
      </c>
      <c r="E486">
        <v>93</v>
      </c>
      <c r="F486" t="s">
        <v>523</v>
      </c>
      <c r="G486">
        <v>1.97</v>
      </c>
    </row>
    <row r="487" spans="1:7" hidden="1" outlineLevel="2" x14ac:dyDescent="0.3">
      <c r="A487">
        <v>487</v>
      </c>
      <c r="B487" t="s">
        <v>582</v>
      </c>
      <c r="C487">
        <v>14</v>
      </c>
      <c r="D487" t="s">
        <v>8</v>
      </c>
      <c r="E487">
        <v>93</v>
      </c>
      <c r="F487" t="s">
        <v>523</v>
      </c>
      <c r="G487">
        <v>1.97</v>
      </c>
    </row>
    <row r="488" spans="1:7" hidden="1" outlineLevel="2" x14ac:dyDescent="0.3">
      <c r="A488">
        <v>413</v>
      </c>
      <c r="B488" t="s">
        <v>522</v>
      </c>
      <c r="C488">
        <v>12</v>
      </c>
      <c r="D488" t="s">
        <v>8</v>
      </c>
      <c r="E488">
        <v>93</v>
      </c>
      <c r="F488" t="s">
        <v>523</v>
      </c>
      <c r="G488">
        <v>1.97</v>
      </c>
    </row>
    <row r="489" spans="1:7" outlineLevel="1" collapsed="1" x14ac:dyDescent="0.3">
      <c r="E489" s="1" t="s">
        <v>1441</v>
      </c>
      <c r="F489" t="str">
        <f>F488</f>
        <v>Apocalyptic Battlescythe</v>
      </c>
      <c r="G489">
        <f>SUBTOTAL(3,G483:G488)</f>
        <v>6</v>
      </c>
    </row>
    <row r="490" spans="1:7" hidden="1" outlineLevel="2" x14ac:dyDescent="0.3">
      <c r="A490">
        <v>485</v>
      </c>
      <c r="B490" t="s">
        <v>580</v>
      </c>
      <c r="C490">
        <v>26</v>
      </c>
      <c r="D490" t="s">
        <v>39</v>
      </c>
      <c r="E490">
        <v>94</v>
      </c>
      <c r="F490" t="s">
        <v>373</v>
      </c>
      <c r="G490">
        <v>3.49</v>
      </c>
    </row>
    <row r="491" spans="1:7" hidden="1" outlineLevel="2" x14ac:dyDescent="0.3">
      <c r="A491">
        <v>254</v>
      </c>
      <c r="B491" t="s">
        <v>372</v>
      </c>
      <c r="C491">
        <v>23</v>
      </c>
      <c r="D491" t="s">
        <v>39</v>
      </c>
      <c r="E491">
        <v>94</v>
      </c>
      <c r="F491" t="s">
        <v>373</v>
      </c>
      <c r="G491">
        <v>3.49</v>
      </c>
    </row>
    <row r="492" spans="1:7" hidden="1" outlineLevel="2" x14ac:dyDescent="0.3">
      <c r="A492">
        <v>711</v>
      </c>
      <c r="B492" t="s">
        <v>168</v>
      </c>
      <c r="C492">
        <v>20</v>
      </c>
      <c r="D492" t="s">
        <v>8</v>
      </c>
      <c r="E492">
        <v>94</v>
      </c>
      <c r="F492" t="s">
        <v>373</v>
      </c>
      <c r="G492">
        <v>3.49</v>
      </c>
    </row>
    <row r="493" spans="1:7" hidden="1" outlineLevel="2" x14ac:dyDescent="0.3">
      <c r="A493">
        <v>744</v>
      </c>
      <c r="B493" t="s">
        <v>263</v>
      </c>
      <c r="C493">
        <v>22</v>
      </c>
      <c r="D493" t="s">
        <v>8</v>
      </c>
      <c r="E493">
        <v>94</v>
      </c>
      <c r="F493" t="s">
        <v>373</v>
      </c>
      <c r="G493">
        <v>3.49</v>
      </c>
    </row>
    <row r="494" spans="1:7" outlineLevel="1" collapsed="1" x14ac:dyDescent="0.3">
      <c r="E494" s="1" t="s">
        <v>1442</v>
      </c>
      <c r="F494" t="str">
        <f>F493</f>
        <v>Mourning Blade</v>
      </c>
      <c r="G494">
        <f>SUBTOTAL(3,G490:G493)</f>
        <v>4</v>
      </c>
    </row>
    <row r="495" spans="1:7" hidden="1" outlineLevel="2" x14ac:dyDescent="0.3">
      <c r="A495">
        <v>10</v>
      </c>
      <c r="B495" t="s">
        <v>29</v>
      </c>
      <c r="C495">
        <v>23</v>
      </c>
      <c r="D495" t="s">
        <v>8</v>
      </c>
      <c r="E495">
        <v>95</v>
      </c>
      <c r="F495" t="s">
        <v>30</v>
      </c>
      <c r="G495">
        <v>4.74</v>
      </c>
    </row>
    <row r="496" spans="1:7" hidden="1" outlineLevel="2" x14ac:dyDescent="0.3">
      <c r="A496">
        <v>180</v>
      </c>
      <c r="B496" t="s">
        <v>286</v>
      </c>
      <c r="C496">
        <v>24</v>
      </c>
      <c r="D496" t="s">
        <v>8</v>
      </c>
      <c r="E496">
        <v>95</v>
      </c>
      <c r="F496" t="s">
        <v>30</v>
      </c>
      <c r="G496">
        <v>4.74</v>
      </c>
    </row>
    <row r="497" spans="1:7" hidden="1" outlineLevel="2" x14ac:dyDescent="0.3">
      <c r="A497">
        <v>704</v>
      </c>
      <c r="B497" t="s">
        <v>721</v>
      </c>
      <c r="C497">
        <v>18</v>
      </c>
      <c r="D497" t="s">
        <v>8</v>
      </c>
      <c r="E497">
        <v>95</v>
      </c>
      <c r="F497" t="s">
        <v>30</v>
      </c>
      <c r="G497">
        <v>4.74</v>
      </c>
    </row>
    <row r="498" spans="1:7" outlineLevel="1" collapsed="1" x14ac:dyDescent="0.3">
      <c r="E498" s="1" t="s">
        <v>1443</v>
      </c>
      <c r="F498" t="str">
        <f>F497</f>
        <v>Singed Onyx Warscythe</v>
      </c>
      <c r="G498">
        <f>SUBTOTAL(3,G495:G497)</f>
        <v>3</v>
      </c>
    </row>
    <row r="499" spans="1:7" hidden="1" outlineLevel="2" x14ac:dyDescent="0.3">
      <c r="A499">
        <v>94</v>
      </c>
      <c r="B499" t="s">
        <v>173</v>
      </c>
      <c r="C499">
        <v>19</v>
      </c>
      <c r="D499" t="s">
        <v>8</v>
      </c>
      <c r="E499">
        <v>96</v>
      </c>
      <c r="F499" t="s">
        <v>64</v>
      </c>
      <c r="G499">
        <v>3.09</v>
      </c>
    </row>
    <row r="500" spans="1:7" hidden="1" outlineLevel="2" x14ac:dyDescent="0.3">
      <c r="A500">
        <v>398</v>
      </c>
      <c r="B500" t="s">
        <v>511</v>
      </c>
      <c r="C500">
        <v>34</v>
      </c>
      <c r="D500" t="s">
        <v>8</v>
      </c>
      <c r="E500">
        <v>96</v>
      </c>
      <c r="F500" t="s">
        <v>64</v>
      </c>
      <c r="G500">
        <v>3.09</v>
      </c>
    </row>
    <row r="501" spans="1:7" hidden="1" outlineLevel="2" x14ac:dyDescent="0.3">
      <c r="A501">
        <v>680</v>
      </c>
      <c r="B501" t="s">
        <v>707</v>
      </c>
      <c r="C501">
        <v>25</v>
      </c>
      <c r="D501" t="s">
        <v>8</v>
      </c>
      <c r="E501">
        <v>96</v>
      </c>
      <c r="F501" t="s">
        <v>64</v>
      </c>
      <c r="G501">
        <v>3.09</v>
      </c>
    </row>
    <row r="502" spans="1:7" hidden="1" outlineLevel="2" x14ac:dyDescent="0.3">
      <c r="A502">
        <v>164</v>
      </c>
      <c r="B502" t="s">
        <v>263</v>
      </c>
      <c r="C502">
        <v>22</v>
      </c>
      <c r="D502" t="s">
        <v>8</v>
      </c>
      <c r="E502">
        <v>96</v>
      </c>
      <c r="F502" t="s">
        <v>64</v>
      </c>
      <c r="G502">
        <v>3.09</v>
      </c>
    </row>
    <row r="503" spans="1:7" hidden="1" outlineLevel="2" x14ac:dyDescent="0.3">
      <c r="A503">
        <v>27</v>
      </c>
      <c r="B503" t="s">
        <v>63</v>
      </c>
      <c r="C503">
        <v>7</v>
      </c>
      <c r="D503" t="s">
        <v>8</v>
      </c>
      <c r="E503">
        <v>96</v>
      </c>
      <c r="F503" t="s">
        <v>64</v>
      </c>
      <c r="G503">
        <v>3.09</v>
      </c>
    </row>
    <row r="504" spans="1:7" hidden="1" outlineLevel="2" x14ac:dyDescent="0.3">
      <c r="A504">
        <v>378</v>
      </c>
      <c r="B504" t="s">
        <v>491</v>
      </c>
      <c r="C504">
        <v>23</v>
      </c>
      <c r="D504" t="s">
        <v>8</v>
      </c>
      <c r="E504">
        <v>96</v>
      </c>
      <c r="F504" t="s">
        <v>64</v>
      </c>
      <c r="G504">
        <v>3.09</v>
      </c>
    </row>
    <row r="505" spans="1:7" outlineLevel="1" collapsed="1" x14ac:dyDescent="0.3">
      <c r="E505" s="1" t="s">
        <v>1444</v>
      </c>
      <c r="F505" t="str">
        <f>F504</f>
        <v>Blood-Forged Skeletal Spine</v>
      </c>
      <c r="G505">
        <f>SUBTOTAL(3,G499:G504)</f>
        <v>6</v>
      </c>
    </row>
    <row r="506" spans="1:7" hidden="1" outlineLevel="2" x14ac:dyDescent="0.3">
      <c r="A506">
        <v>234</v>
      </c>
      <c r="B506" t="s">
        <v>319</v>
      </c>
      <c r="C506">
        <v>16</v>
      </c>
      <c r="D506" t="s">
        <v>8</v>
      </c>
      <c r="E506">
        <v>97</v>
      </c>
      <c r="F506" t="s">
        <v>348</v>
      </c>
      <c r="G506">
        <v>2.5</v>
      </c>
    </row>
    <row r="507" spans="1:7" hidden="1" outlineLevel="2" x14ac:dyDescent="0.3">
      <c r="A507">
        <v>495</v>
      </c>
      <c r="B507" t="s">
        <v>589</v>
      </c>
      <c r="C507">
        <v>24</v>
      </c>
      <c r="D507" t="s">
        <v>8</v>
      </c>
      <c r="E507">
        <v>97</v>
      </c>
      <c r="F507" t="s">
        <v>348</v>
      </c>
      <c r="G507">
        <v>2.5</v>
      </c>
    </row>
    <row r="508" spans="1:7" hidden="1" outlineLevel="2" x14ac:dyDescent="0.3">
      <c r="A508">
        <v>732</v>
      </c>
      <c r="B508" t="s">
        <v>581</v>
      </c>
      <c r="C508">
        <v>9</v>
      </c>
      <c r="D508" t="s">
        <v>8</v>
      </c>
      <c r="E508">
        <v>97</v>
      </c>
      <c r="F508" t="s">
        <v>348</v>
      </c>
      <c r="G508">
        <v>2.5</v>
      </c>
    </row>
    <row r="509" spans="1:7" outlineLevel="1" collapsed="1" x14ac:dyDescent="0.3">
      <c r="E509" s="1" t="s">
        <v>1445</v>
      </c>
      <c r="F509" t="str">
        <f>F508</f>
        <v>Swan Song, Gouger Of Terror</v>
      </c>
      <c r="G509">
        <f>SUBTOTAL(3,G506:G508)</f>
        <v>3</v>
      </c>
    </row>
    <row r="510" spans="1:7" hidden="1" outlineLevel="2" x14ac:dyDescent="0.3">
      <c r="A510">
        <v>155</v>
      </c>
      <c r="B510" t="s">
        <v>253</v>
      </c>
      <c r="C510">
        <v>10</v>
      </c>
      <c r="D510" t="s">
        <v>39</v>
      </c>
      <c r="E510">
        <v>98</v>
      </c>
      <c r="F510" t="s">
        <v>40</v>
      </c>
      <c r="G510">
        <v>2.89</v>
      </c>
    </row>
    <row r="511" spans="1:7" hidden="1" outlineLevel="2" x14ac:dyDescent="0.3">
      <c r="A511">
        <v>15</v>
      </c>
      <c r="B511" t="s">
        <v>38</v>
      </c>
      <c r="C511">
        <v>21</v>
      </c>
      <c r="D511" t="s">
        <v>39</v>
      </c>
      <c r="E511">
        <v>98</v>
      </c>
      <c r="F511" t="s">
        <v>40</v>
      </c>
      <c r="G511">
        <v>2.89</v>
      </c>
    </row>
    <row r="512" spans="1:7" hidden="1" outlineLevel="2" x14ac:dyDescent="0.3">
      <c r="A512">
        <v>192</v>
      </c>
      <c r="B512" t="s">
        <v>305</v>
      </c>
      <c r="C512">
        <v>25</v>
      </c>
      <c r="D512" t="s">
        <v>8</v>
      </c>
      <c r="E512">
        <v>98</v>
      </c>
      <c r="F512" t="s">
        <v>40</v>
      </c>
      <c r="G512">
        <v>2.89</v>
      </c>
    </row>
    <row r="513" spans="1:7" hidden="1" outlineLevel="2" x14ac:dyDescent="0.3">
      <c r="A513">
        <v>417</v>
      </c>
      <c r="B513" t="s">
        <v>180</v>
      </c>
      <c r="C513">
        <v>30</v>
      </c>
      <c r="D513" t="s">
        <v>8</v>
      </c>
      <c r="E513">
        <v>98</v>
      </c>
      <c r="F513" t="s">
        <v>40</v>
      </c>
      <c r="G513">
        <v>2.89</v>
      </c>
    </row>
    <row r="514" spans="1:7" hidden="1" outlineLevel="2" x14ac:dyDescent="0.3">
      <c r="A514">
        <v>308</v>
      </c>
      <c r="B514" t="s">
        <v>427</v>
      </c>
      <c r="C514">
        <v>34</v>
      </c>
      <c r="D514" t="s">
        <v>8</v>
      </c>
      <c r="E514">
        <v>98</v>
      </c>
      <c r="F514" t="s">
        <v>40</v>
      </c>
      <c r="G514">
        <v>2.89</v>
      </c>
    </row>
    <row r="515" spans="1:7" outlineLevel="1" collapsed="1" x14ac:dyDescent="0.3">
      <c r="E515" s="1" t="s">
        <v>1446</v>
      </c>
      <c r="F515" t="str">
        <f>F514</f>
        <v>Deadline, Voice Of Subtlety</v>
      </c>
      <c r="G515">
        <f>SUBTOTAL(3,G510:G514)</f>
        <v>5</v>
      </c>
    </row>
    <row r="516" spans="1:7" hidden="1" outlineLevel="2" x14ac:dyDescent="0.3">
      <c r="A516">
        <v>499</v>
      </c>
      <c r="B516" t="s">
        <v>592</v>
      </c>
      <c r="C516">
        <v>24</v>
      </c>
      <c r="D516" t="s">
        <v>8</v>
      </c>
      <c r="E516">
        <v>99</v>
      </c>
      <c r="F516" t="s">
        <v>191</v>
      </c>
      <c r="G516">
        <v>1.71</v>
      </c>
    </row>
    <row r="517" spans="1:7" hidden="1" outlineLevel="2" x14ac:dyDescent="0.3">
      <c r="A517">
        <v>710</v>
      </c>
      <c r="B517" t="s">
        <v>455</v>
      </c>
      <c r="C517">
        <v>22</v>
      </c>
      <c r="D517" t="s">
        <v>8</v>
      </c>
      <c r="E517">
        <v>99</v>
      </c>
      <c r="F517" t="s">
        <v>191</v>
      </c>
      <c r="G517">
        <v>1.71</v>
      </c>
    </row>
    <row r="518" spans="1:7" hidden="1" outlineLevel="2" x14ac:dyDescent="0.3">
      <c r="A518">
        <v>410</v>
      </c>
      <c r="B518" t="s">
        <v>430</v>
      </c>
      <c r="C518">
        <v>20</v>
      </c>
      <c r="D518" t="s">
        <v>8</v>
      </c>
      <c r="E518">
        <v>99</v>
      </c>
      <c r="F518" t="s">
        <v>191</v>
      </c>
      <c r="G518">
        <v>1.71</v>
      </c>
    </row>
    <row r="519" spans="1:7" hidden="1" outlineLevel="2" x14ac:dyDescent="0.3">
      <c r="A519">
        <v>107</v>
      </c>
      <c r="B519" t="s">
        <v>190</v>
      </c>
      <c r="C519">
        <v>36</v>
      </c>
      <c r="D519" t="s">
        <v>8</v>
      </c>
      <c r="E519">
        <v>99</v>
      </c>
      <c r="F519" t="s">
        <v>191</v>
      </c>
      <c r="G519">
        <v>1.71</v>
      </c>
    </row>
    <row r="520" spans="1:7" outlineLevel="1" collapsed="1" x14ac:dyDescent="0.3">
      <c r="E520" s="1" t="s">
        <v>1447</v>
      </c>
      <c r="F520" t="str">
        <f>F519</f>
        <v>Expiration, Warscythe Of Lost Worlds</v>
      </c>
      <c r="G520">
        <f>SUBTOTAL(3,G516:G519)</f>
        <v>4</v>
      </c>
    </row>
    <row r="521" spans="1:7" hidden="1" outlineLevel="2" x14ac:dyDescent="0.3">
      <c r="A521">
        <v>3</v>
      </c>
      <c r="B521" t="s">
        <v>14</v>
      </c>
      <c r="C521">
        <v>24</v>
      </c>
      <c r="D521" t="s">
        <v>8</v>
      </c>
      <c r="E521">
        <v>100</v>
      </c>
      <c r="F521" t="s">
        <v>15</v>
      </c>
      <c r="G521">
        <v>3.27</v>
      </c>
    </row>
    <row r="522" spans="1:7" hidden="1" outlineLevel="2" x14ac:dyDescent="0.3">
      <c r="A522">
        <v>397</v>
      </c>
      <c r="B522" t="s">
        <v>510</v>
      </c>
      <c r="C522">
        <v>25</v>
      </c>
      <c r="D522" t="s">
        <v>8</v>
      </c>
      <c r="E522">
        <v>100</v>
      </c>
      <c r="F522" t="s">
        <v>15</v>
      </c>
      <c r="G522">
        <v>3.27</v>
      </c>
    </row>
    <row r="523" spans="1:7" hidden="1" outlineLevel="2" x14ac:dyDescent="0.3">
      <c r="A523">
        <v>406</v>
      </c>
      <c r="B523" t="s">
        <v>517</v>
      </c>
      <c r="C523">
        <v>15</v>
      </c>
      <c r="D523" t="s">
        <v>8</v>
      </c>
      <c r="E523">
        <v>100</v>
      </c>
      <c r="F523" t="s">
        <v>15</v>
      </c>
      <c r="G523">
        <v>3.27</v>
      </c>
    </row>
    <row r="524" spans="1:7" hidden="1" outlineLevel="2" x14ac:dyDescent="0.3">
      <c r="A524">
        <v>500</v>
      </c>
      <c r="B524" t="s">
        <v>593</v>
      </c>
      <c r="C524">
        <v>20</v>
      </c>
      <c r="D524" t="s">
        <v>8</v>
      </c>
      <c r="E524">
        <v>100</v>
      </c>
      <c r="F524" t="s">
        <v>15</v>
      </c>
      <c r="G524">
        <v>3.27</v>
      </c>
    </row>
    <row r="525" spans="1:7" hidden="1" outlineLevel="2" x14ac:dyDescent="0.3">
      <c r="A525">
        <v>379</v>
      </c>
      <c r="B525" t="s">
        <v>492</v>
      </c>
      <c r="C525">
        <v>18</v>
      </c>
      <c r="D525" t="s">
        <v>8</v>
      </c>
      <c r="E525">
        <v>100</v>
      </c>
      <c r="F525" t="s">
        <v>15</v>
      </c>
      <c r="G525">
        <v>3.27</v>
      </c>
    </row>
    <row r="526" spans="1:7" outlineLevel="1" collapsed="1" x14ac:dyDescent="0.3">
      <c r="E526" s="1" t="s">
        <v>1448</v>
      </c>
      <c r="F526" t="str">
        <f>F525</f>
        <v>Blindscythe</v>
      </c>
      <c r="G526">
        <f>SUBTOTAL(3,G521:G525)</f>
        <v>5</v>
      </c>
    </row>
    <row r="527" spans="1:7" hidden="1" outlineLevel="2" x14ac:dyDescent="0.3">
      <c r="A527">
        <v>99</v>
      </c>
      <c r="B527" t="s">
        <v>31</v>
      </c>
      <c r="C527">
        <v>23</v>
      </c>
      <c r="D527" t="s">
        <v>8</v>
      </c>
      <c r="E527">
        <v>101</v>
      </c>
      <c r="F527" t="s">
        <v>13</v>
      </c>
      <c r="G527">
        <v>4.1900000000000004</v>
      </c>
    </row>
    <row r="528" spans="1:7" hidden="1" outlineLevel="2" x14ac:dyDescent="0.3">
      <c r="A528">
        <v>774</v>
      </c>
      <c r="B528" t="s">
        <v>761</v>
      </c>
      <c r="C528">
        <v>11</v>
      </c>
      <c r="D528" t="s">
        <v>8</v>
      </c>
      <c r="E528">
        <v>101</v>
      </c>
      <c r="F528" t="s">
        <v>13</v>
      </c>
      <c r="G528">
        <v>4.1900000000000004</v>
      </c>
    </row>
    <row r="529" spans="1:7" hidden="1" outlineLevel="2" x14ac:dyDescent="0.3">
      <c r="A529">
        <v>411</v>
      </c>
      <c r="B529" t="s">
        <v>519</v>
      </c>
      <c r="C529">
        <v>10</v>
      </c>
      <c r="D529" t="s">
        <v>8</v>
      </c>
      <c r="E529">
        <v>101</v>
      </c>
      <c r="F529" t="s">
        <v>13</v>
      </c>
      <c r="G529">
        <v>4.1900000000000004</v>
      </c>
    </row>
    <row r="530" spans="1:7" hidden="1" outlineLevel="2" x14ac:dyDescent="0.3">
      <c r="A530">
        <v>536</v>
      </c>
      <c r="B530" t="s">
        <v>421</v>
      </c>
      <c r="C530">
        <v>20</v>
      </c>
      <c r="D530" t="s">
        <v>8</v>
      </c>
      <c r="E530">
        <v>101</v>
      </c>
      <c r="F530" t="s">
        <v>13</v>
      </c>
      <c r="G530">
        <v>4.1900000000000004</v>
      </c>
    </row>
    <row r="531" spans="1:7" hidden="1" outlineLevel="2" x14ac:dyDescent="0.3">
      <c r="A531">
        <v>778</v>
      </c>
      <c r="B531" t="s">
        <v>764</v>
      </c>
      <c r="C531">
        <v>7</v>
      </c>
      <c r="D531" t="s">
        <v>8</v>
      </c>
      <c r="E531">
        <v>101</v>
      </c>
      <c r="F531" t="s">
        <v>13</v>
      </c>
      <c r="G531">
        <v>4.1900000000000004</v>
      </c>
    </row>
    <row r="532" spans="1:7" outlineLevel="1" collapsed="1" x14ac:dyDescent="0.3">
      <c r="E532" s="1" t="s">
        <v>1449</v>
      </c>
      <c r="F532" t="str">
        <f>F531</f>
        <v>Final Critic</v>
      </c>
      <c r="G532">
        <f>SUBTOTAL(3,G527:G531)</f>
        <v>5</v>
      </c>
    </row>
    <row r="533" spans="1:7" hidden="1" outlineLevel="2" x14ac:dyDescent="0.3">
      <c r="A533">
        <v>171</v>
      </c>
      <c r="B533" t="s">
        <v>273</v>
      </c>
      <c r="C533">
        <v>30</v>
      </c>
      <c r="D533" t="s">
        <v>8</v>
      </c>
      <c r="E533">
        <v>102</v>
      </c>
      <c r="F533" t="s">
        <v>99</v>
      </c>
      <c r="G533">
        <v>3.44</v>
      </c>
    </row>
    <row r="534" spans="1:7" hidden="1" outlineLevel="2" x14ac:dyDescent="0.3">
      <c r="A534">
        <v>567</v>
      </c>
      <c r="B534" t="s">
        <v>637</v>
      </c>
      <c r="C534">
        <v>20</v>
      </c>
      <c r="D534" t="s">
        <v>8</v>
      </c>
      <c r="E534">
        <v>102</v>
      </c>
      <c r="F534" t="s">
        <v>99</v>
      </c>
      <c r="G534">
        <v>3.44</v>
      </c>
    </row>
    <row r="535" spans="1:7" hidden="1" outlineLevel="2" x14ac:dyDescent="0.3">
      <c r="A535">
        <v>527</v>
      </c>
      <c r="B535" t="s">
        <v>610</v>
      </c>
      <c r="C535">
        <v>24</v>
      </c>
      <c r="D535" t="s">
        <v>8</v>
      </c>
      <c r="E535">
        <v>102</v>
      </c>
      <c r="F535" t="s">
        <v>99</v>
      </c>
      <c r="G535">
        <v>3.44</v>
      </c>
    </row>
    <row r="536" spans="1:7" hidden="1" outlineLevel="2" x14ac:dyDescent="0.3">
      <c r="A536">
        <v>127</v>
      </c>
      <c r="B536" t="s">
        <v>219</v>
      </c>
      <c r="C536">
        <v>37</v>
      </c>
      <c r="D536" t="s">
        <v>8</v>
      </c>
      <c r="E536">
        <v>102</v>
      </c>
      <c r="F536" t="s">
        <v>99</v>
      </c>
      <c r="G536">
        <v>3.44</v>
      </c>
    </row>
    <row r="537" spans="1:7" hidden="1" outlineLevel="2" x14ac:dyDescent="0.3">
      <c r="A537">
        <v>230</v>
      </c>
      <c r="B537" t="s">
        <v>344</v>
      </c>
      <c r="C537">
        <v>24</v>
      </c>
      <c r="D537" t="s">
        <v>8</v>
      </c>
      <c r="E537">
        <v>102</v>
      </c>
      <c r="F537" t="s">
        <v>99</v>
      </c>
      <c r="G537">
        <v>3.44</v>
      </c>
    </row>
    <row r="538" spans="1:7" hidden="1" outlineLevel="2" x14ac:dyDescent="0.3">
      <c r="A538">
        <v>46</v>
      </c>
      <c r="B538" t="s">
        <v>98</v>
      </c>
      <c r="C538">
        <v>27</v>
      </c>
      <c r="D538" t="s">
        <v>8</v>
      </c>
      <c r="E538">
        <v>102</v>
      </c>
      <c r="F538" t="s">
        <v>99</v>
      </c>
      <c r="G538">
        <v>3.44</v>
      </c>
    </row>
    <row r="539" spans="1:7" outlineLevel="1" collapsed="1" x14ac:dyDescent="0.3">
      <c r="E539" s="1" t="s">
        <v>1450</v>
      </c>
      <c r="F539" t="str">
        <f>F538</f>
        <v>Avenger</v>
      </c>
      <c r="G539">
        <f>SUBTOTAL(3,G533:G538)</f>
        <v>6</v>
      </c>
    </row>
    <row r="540" spans="1:7" hidden="1" outlineLevel="2" x14ac:dyDescent="0.3">
      <c r="A540">
        <v>714</v>
      </c>
      <c r="B540" t="s">
        <v>383</v>
      </c>
      <c r="C540">
        <v>16</v>
      </c>
      <c r="D540" t="s">
        <v>39</v>
      </c>
      <c r="E540">
        <v>103</v>
      </c>
      <c r="F540" t="s">
        <v>280</v>
      </c>
      <c r="G540">
        <v>4.3499999999999996</v>
      </c>
    </row>
    <row r="541" spans="1:7" hidden="1" outlineLevel="2" x14ac:dyDescent="0.3">
      <c r="A541">
        <v>373</v>
      </c>
      <c r="B541" t="s">
        <v>157</v>
      </c>
      <c r="C541">
        <v>25</v>
      </c>
      <c r="D541" t="s">
        <v>8</v>
      </c>
      <c r="E541">
        <v>103</v>
      </c>
      <c r="F541" t="s">
        <v>280</v>
      </c>
      <c r="G541">
        <v>4.3499999999999996</v>
      </c>
    </row>
    <row r="542" spans="1:7" hidden="1" outlineLevel="2" x14ac:dyDescent="0.3">
      <c r="A542">
        <v>460</v>
      </c>
      <c r="B542" t="s">
        <v>560</v>
      </c>
      <c r="C542">
        <v>25</v>
      </c>
      <c r="D542" t="s">
        <v>8</v>
      </c>
      <c r="E542">
        <v>103</v>
      </c>
      <c r="F542" t="s">
        <v>280</v>
      </c>
      <c r="G542">
        <v>4.3499999999999996</v>
      </c>
    </row>
    <row r="543" spans="1:7" hidden="1" outlineLevel="2" x14ac:dyDescent="0.3">
      <c r="A543">
        <v>634</v>
      </c>
      <c r="B543" t="s">
        <v>675</v>
      </c>
      <c r="C543">
        <v>16</v>
      </c>
      <c r="D543" t="s">
        <v>8</v>
      </c>
      <c r="E543">
        <v>103</v>
      </c>
      <c r="F543" t="s">
        <v>280</v>
      </c>
      <c r="G543">
        <v>4.3499999999999996</v>
      </c>
    </row>
    <row r="544" spans="1:7" hidden="1" outlineLevel="2" x14ac:dyDescent="0.3">
      <c r="A544">
        <v>175</v>
      </c>
      <c r="B544" t="s">
        <v>279</v>
      </c>
      <c r="C544">
        <v>17</v>
      </c>
      <c r="D544" t="s">
        <v>8</v>
      </c>
      <c r="E544">
        <v>103</v>
      </c>
      <c r="F544" t="s">
        <v>280</v>
      </c>
      <c r="G544">
        <v>4.3499999999999996</v>
      </c>
    </row>
    <row r="545" spans="1:7" hidden="1" outlineLevel="2" x14ac:dyDescent="0.3">
      <c r="A545">
        <v>660</v>
      </c>
      <c r="B545" t="s">
        <v>634</v>
      </c>
      <c r="C545">
        <v>38</v>
      </c>
      <c r="D545" t="s">
        <v>8</v>
      </c>
      <c r="E545">
        <v>103</v>
      </c>
      <c r="F545" t="s">
        <v>280</v>
      </c>
      <c r="G545">
        <v>4.3499999999999996</v>
      </c>
    </row>
    <row r="546" spans="1:7" hidden="1" outlineLevel="2" x14ac:dyDescent="0.3">
      <c r="A546">
        <v>455</v>
      </c>
      <c r="B546" t="s">
        <v>555</v>
      </c>
      <c r="C546">
        <v>20</v>
      </c>
      <c r="D546" t="s">
        <v>8</v>
      </c>
      <c r="E546">
        <v>103</v>
      </c>
      <c r="F546" t="s">
        <v>280</v>
      </c>
      <c r="G546">
        <v>4.3499999999999996</v>
      </c>
    </row>
    <row r="547" spans="1:7" hidden="1" outlineLevel="2" x14ac:dyDescent="0.3">
      <c r="A547">
        <v>476</v>
      </c>
      <c r="B547" t="s">
        <v>575</v>
      </c>
      <c r="C547">
        <v>21</v>
      </c>
      <c r="D547" t="s">
        <v>8</v>
      </c>
      <c r="E547">
        <v>103</v>
      </c>
      <c r="F547" t="s">
        <v>280</v>
      </c>
      <c r="G547">
        <v>4.3499999999999996</v>
      </c>
    </row>
    <row r="548" spans="1:7" outlineLevel="1" collapsed="1" x14ac:dyDescent="0.3">
      <c r="E548" s="1" t="s">
        <v>1451</v>
      </c>
      <c r="F548" t="str">
        <f>F547</f>
        <v>Singed Scalpel</v>
      </c>
      <c r="G548">
        <f>SUBTOTAL(3,G540:G547)</f>
        <v>8</v>
      </c>
    </row>
    <row r="549" spans="1:7" hidden="1" outlineLevel="2" x14ac:dyDescent="0.3">
      <c r="A549">
        <v>727</v>
      </c>
      <c r="B549" t="s">
        <v>216</v>
      </c>
      <c r="C549">
        <v>20</v>
      </c>
      <c r="D549" t="s">
        <v>39</v>
      </c>
      <c r="E549">
        <v>104</v>
      </c>
      <c r="F549" t="s">
        <v>734</v>
      </c>
      <c r="G549">
        <v>1.93</v>
      </c>
    </row>
    <row r="550" spans="1:7" outlineLevel="1" collapsed="1" x14ac:dyDescent="0.3">
      <c r="E550" s="1" t="s">
        <v>1452</v>
      </c>
      <c r="F550" t="str">
        <f>F549</f>
        <v>Gladiator's Glaive</v>
      </c>
      <c r="G550">
        <f>SUBTOTAL(3,G549:G549)</f>
        <v>1</v>
      </c>
    </row>
    <row r="551" spans="1:7" hidden="1" outlineLevel="2" x14ac:dyDescent="0.3">
      <c r="A551">
        <v>136</v>
      </c>
      <c r="B551" t="s">
        <v>232</v>
      </c>
      <c r="C551">
        <v>22</v>
      </c>
      <c r="D551" t="s">
        <v>8</v>
      </c>
      <c r="E551">
        <v>105</v>
      </c>
      <c r="F551" t="s">
        <v>123</v>
      </c>
      <c r="G551">
        <v>3.03</v>
      </c>
    </row>
    <row r="552" spans="1:7" hidden="1" outlineLevel="2" x14ac:dyDescent="0.3">
      <c r="A552">
        <v>151</v>
      </c>
      <c r="B552" t="s">
        <v>249</v>
      </c>
      <c r="C552">
        <v>25</v>
      </c>
      <c r="D552" t="s">
        <v>8</v>
      </c>
      <c r="E552">
        <v>105</v>
      </c>
      <c r="F552" t="s">
        <v>123</v>
      </c>
      <c r="G552">
        <v>3.03</v>
      </c>
    </row>
    <row r="553" spans="1:7" hidden="1" outlineLevel="2" x14ac:dyDescent="0.3">
      <c r="A553">
        <v>208</v>
      </c>
      <c r="B553" t="s">
        <v>323</v>
      </c>
      <c r="C553">
        <v>37</v>
      </c>
      <c r="D553" t="s">
        <v>8</v>
      </c>
      <c r="E553">
        <v>105</v>
      </c>
      <c r="F553" t="s">
        <v>123</v>
      </c>
      <c r="G553">
        <v>3.03</v>
      </c>
    </row>
    <row r="554" spans="1:7" hidden="1" outlineLevel="2" x14ac:dyDescent="0.3">
      <c r="A554">
        <v>59</v>
      </c>
      <c r="B554" t="s">
        <v>122</v>
      </c>
      <c r="C554">
        <v>19</v>
      </c>
      <c r="D554" t="s">
        <v>8</v>
      </c>
      <c r="E554">
        <v>105</v>
      </c>
      <c r="F554" t="s">
        <v>123</v>
      </c>
      <c r="G554">
        <v>3.03</v>
      </c>
    </row>
    <row r="555" spans="1:7" outlineLevel="1" collapsed="1" x14ac:dyDescent="0.3">
      <c r="E555" s="1" t="s">
        <v>1453</v>
      </c>
      <c r="F555" t="str">
        <f>F554</f>
        <v>Hailstorm Shadowsteel Scythe</v>
      </c>
      <c r="G555">
        <f>SUBTOTAL(3,G551:G554)</f>
        <v>4</v>
      </c>
    </row>
    <row r="556" spans="1:7" hidden="1" outlineLevel="2" x14ac:dyDescent="0.3">
      <c r="A556">
        <v>301</v>
      </c>
      <c r="B556" t="s">
        <v>419</v>
      </c>
      <c r="C556">
        <v>25</v>
      </c>
      <c r="D556" t="s">
        <v>8</v>
      </c>
      <c r="E556">
        <v>106</v>
      </c>
      <c r="F556" t="s">
        <v>420</v>
      </c>
      <c r="G556">
        <v>3.41</v>
      </c>
    </row>
    <row r="557" spans="1:7" hidden="1" outlineLevel="2" x14ac:dyDescent="0.3">
      <c r="A557">
        <v>716</v>
      </c>
      <c r="B557" t="s">
        <v>726</v>
      </c>
      <c r="C557">
        <v>23</v>
      </c>
      <c r="D557" t="s">
        <v>8</v>
      </c>
      <c r="E557">
        <v>106</v>
      </c>
      <c r="F557" t="s">
        <v>420</v>
      </c>
      <c r="G557">
        <v>3.41</v>
      </c>
    </row>
    <row r="558" spans="1:7" hidden="1" outlineLevel="2" x14ac:dyDescent="0.3">
      <c r="A558">
        <v>589</v>
      </c>
      <c r="B558" t="s">
        <v>651</v>
      </c>
      <c r="C558">
        <v>30</v>
      </c>
      <c r="D558" t="s">
        <v>8</v>
      </c>
      <c r="E558">
        <v>106</v>
      </c>
      <c r="F558" t="s">
        <v>420</v>
      </c>
      <c r="G558">
        <v>3.41</v>
      </c>
    </row>
    <row r="559" spans="1:7" outlineLevel="1" collapsed="1" x14ac:dyDescent="0.3">
      <c r="E559" s="1" t="s">
        <v>1454</v>
      </c>
      <c r="F559" t="str">
        <f>F558</f>
        <v>Crying Steel Sickle</v>
      </c>
      <c r="G559">
        <f>SUBTOTAL(3,G556:G558)</f>
        <v>3</v>
      </c>
    </row>
    <row r="560" spans="1:7" hidden="1" outlineLevel="2" x14ac:dyDescent="0.3">
      <c r="A560">
        <v>236</v>
      </c>
      <c r="B560" t="s">
        <v>351</v>
      </c>
      <c r="C560">
        <v>16</v>
      </c>
      <c r="D560" t="s">
        <v>8</v>
      </c>
      <c r="E560">
        <v>107</v>
      </c>
      <c r="F560" t="s">
        <v>352</v>
      </c>
      <c r="G560">
        <v>2.1800000000000002</v>
      </c>
    </row>
    <row r="561" spans="1:7" hidden="1" outlineLevel="2" x14ac:dyDescent="0.3">
      <c r="A561">
        <v>362</v>
      </c>
      <c r="B561" t="s">
        <v>478</v>
      </c>
      <c r="C561">
        <v>22</v>
      </c>
      <c r="D561" t="s">
        <v>8</v>
      </c>
      <c r="E561">
        <v>107</v>
      </c>
      <c r="F561" t="s">
        <v>352</v>
      </c>
      <c r="G561">
        <v>2.1800000000000002</v>
      </c>
    </row>
    <row r="562" spans="1:7" hidden="1" outlineLevel="2" x14ac:dyDescent="0.3">
      <c r="A562">
        <v>315</v>
      </c>
      <c r="B562" t="s">
        <v>120</v>
      </c>
      <c r="C562">
        <v>23</v>
      </c>
      <c r="D562" t="s">
        <v>8</v>
      </c>
      <c r="E562">
        <v>107</v>
      </c>
      <c r="F562" t="s">
        <v>352</v>
      </c>
      <c r="G562">
        <v>2.1800000000000002</v>
      </c>
    </row>
    <row r="563" spans="1:7" hidden="1" outlineLevel="2" x14ac:dyDescent="0.3">
      <c r="A563">
        <v>629</v>
      </c>
      <c r="B563" t="s">
        <v>626</v>
      </c>
      <c r="C563">
        <v>25</v>
      </c>
      <c r="D563" t="s">
        <v>27</v>
      </c>
      <c r="E563">
        <v>107</v>
      </c>
      <c r="F563" t="s">
        <v>352</v>
      </c>
      <c r="G563">
        <v>2.1800000000000002</v>
      </c>
    </row>
    <row r="564" spans="1:7" outlineLevel="1" collapsed="1" x14ac:dyDescent="0.3">
      <c r="E564" s="1" t="s">
        <v>1455</v>
      </c>
      <c r="F564" t="str">
        <f>F563</f>
        <v>Splitter, Foe Of Subtlety</v>
      </c>
      <c r="G564">
        <f>SUBTOTAL(3,G560:G563)</f>
        <v>4</v>
      </c>
    </row>
    <row r="565" spans="1:7" hidden="1" outlineLevel="2" x14ac:dyDescent="0.3">
      <c r="A565">
        <v>558</v>
      </c>
      <c r="B565" t="s">
        <v>632</v>
      </c>
      <c r="C565">
        <v>25</v>
      </c>
      <c r="D565" t="s">
        <v>39</v>
      </c>
      <c r="E565">
        <v>108</v>
      </c>
      <c r="F565" t="s">
        <v>9</v>
      </c>
      <c r="G565">
        <v>3.53</v>
      </c>
    </row>
    <row r="566" spans="1:7" hidden="1" outlineLevel="2" x14ac:dyDescent="0.3">
      <c r="A566">
        <v>157</v>
      </c>
      <c r="B566" t="s">
        <v>254</v>
      </c>
      <c r="C566">
        <v>18</v>
      </c>
      <c r="D566" t="s">
        <v>39</v>
      </c>
      <c r="E566">
        <v>108</v>
      </c>
      <c r="F566" t="s">
        <v>9</v>
      </c>
      <c r="G566">
        <v>3.53</v>
      </c>
    </row>
    <row r="567" spans="1:7" hidden="1" outlineLevel="2" x14ac:dyDescent="0.3">
      <c r="A567">
        <v>498</v>
      </c>
      <c r="B567" t="s">
        <v>591</v>
      </c>
      <c r="C567">
        <v>35</v>
      </c>
      <c r="D567" t="s">
        <v>8</v>
      </c>
      <c r="E567">
        <v>108</v>
      </c>
      <c r="F567" t="s">
        <v>9</v>
      </c>
      <c r="G567">
        <v>3.53</v>
      </c>
    </row>
    <row r="568" spans="1:7" hidden="1" outlineLevel="2" x14ac:dyDescent="0.3">
      <c r="A568">
        <v>0</v>
      </c>
      <c r="B568" t="s">
        <v>7</v>
      </c>
      <c r="C568">
        <v>20</v>
      </c>
      <c r="D568" t="s">
        <v>8</v>
      </c>
      <c r="E568">
        <v>108</v>
      </c>
      <c r="F568" t="s">
        <v>9</v>
      </c>
      <c r="G568">
        <v>3.53</v>
      </c>
    </row>
    <row r="569" spans="1:7" hidden="1" outlineLevel="2" x14ac:dyDescent="0.3">
      <c r="A569">
        <v>414</v>
      </c>
      <c r="B569" t="s">
        <v>524</v>
      </c>
      <c r="C569">
        <v>23</v>
      </c>
      <c r="D569" t="s">
        <v>8</v>
      </c>
      <c r="E569">
        <v>108</v>
      </c>
      <c r="F569" t="s">
        <v>9</v>
      </c>
      <c r="G569">
        <v>3.53</v>
      </c>
    </row>
    <row r="570" spans="1:7" hidden="1" outlineLevel="2" x14ac:dyDescent="0.3">
      <c r="A570">
        <v>56</v>
      </c>
      <c r="B570" t="s">
        <v>117</v>
      </c>
      <c r="C570">
        <v>12</v>
      </c>
      <c r="D570" t="s">
        <v>8</v>
      </c>
      <c r="E570">
        <v>108</v>
      </c>
      <c r="F570" t="s">
        <v>9</v>
      </c>
      <c r="G570">
        <v>3.53</v>
      </c>
    </row>
    <row r="571" spans="1:7" hidden="1" outlineLevel="2" x14ac:dyDescent="0.3">
      <c r="A571">
        <v>678</v>
      </c>
      <c r="B571" t="s">
        <v>234</v>
      </c>
      <c r="C571">
        <v>33</v>
      </c>
      <c r="D571" t="s">
        <v>8</v>
      </c>
      <c r="E571">
        <v>108</v>
      </c>
      <c r="F571" t="s">
        <v>9</v>
      </c>
      <c r="G571">
        <v>3.53</v>
      </c>
    </row>
    <row r="572" spans="1:7" hidden="1" outlineLevel="2" x14ac:dyDescent="0.3">
      <c r="A572">
        <v>483</v>
      </c>
      <c r="B572" t="s">
        <v>485</v>
      </c>
      <c r="C572">
        <v>35</v>
      </c>
      <c r="D572" t="s">
        <v>8</v>
      </c>
      <c r="E572">
        <v>108</v>
      </c>
      <c r="F572" t="s">
        <v>9</v>
      </c>
      <c r="G572">
        <v>3.53</v>
      </c>
    </row>
    <row r="573" spans="1:7" hidden="1" outlineLevel="2" x14ac:dyDescent="0.3">
      <c r="A573">
        <v>640</v>
      </c>
      <c r="B573" t="s">
        <v>525</v>
      </c>
      <c r="C573">
        <v>22</v>
      </c>
      <c r="D573" t="s">
        <v>8</v>
      </c>
      <c r="E573">
        <v>108</v>
      </c>
      <c r="F573" t="s">
        <v>9</v>
      </c>
      <c r="G573">
        <v>3.53</v>
      </c>
    </row>
    <row r="574" spans="1:7" outlineLevel="1" collapsed="1" x14ac:dyDescent="0.3">
      <c r="E574" s="1" t="s">
        <v>1456</v>
      </c>
      <c r="F574" t="str">
        <f>F573</f>
        <v>Extraction, Quickblade Of Trembling Hands</v>
      </c>
      <c r="G574">
        <f>SUBTOTAL(3,G565:G573)</f>
        <v>9</v>
      </c>
    </row>
    <row r="575" spans="1:7" hidden="1" outlineLevel="2" x14ac:dyDescent="0.3">
      <c r="A575">
        <v>520</v>
      </c>
      <c r="B575" t="s">
        <v>337</v>
      </c>
      <c r="C575">
        <v>22</v>
      </c>
      <c r="D575" t="s">
        <v>39</v>
      </c>
      <c r="E575">
        <v>109</v>
      </c>
      <c r="F575" t="s">
        <v>183</v>
      </c>
      <c r="G575">
        <v>4.76</v>
      </c>
    </row>
    <row r="576" spans="1:7" hidden="1" outlineLevel="2" x14ac:dyDescent="0.3">
      <c r="A576">
        <v>102</v>
      </c>
      <c r="B576" t="s">
        <v>182</v>
      </c>
      <c r="C576">
        <v>24</v>
      </c>
      <c r="D576" t="s">
        <v>8</v>
      </c>
      <c r="E576">
        <v>109</v>
      </c>
      <c r="F576" t="s">
        <v>183</v>
      </c>
      <c r="G576">
        <v>4.76</v>
      </c>
    </row>
    <row r="577" spans="1:7" hidden="1" outlineLevel="2" x14ac:dyDescent="0.3">
      <c r="A577">
        <v>620</v>
      </c>
      <c r="B577" t="s">
        <v>167</v>
      </c>
      <c r="C577">
        <v>21</v>
      </c>
      <c r="D577" t="s">
        <v>8</v>
      </c>
      <c r="E577">
        <v>109</v>
      </c>
      <c r="F577" t="s">
        <v>183</v>
      </c>
      <c r="G577">
        <v>4.76</v>
      </c>
    </row>
    <row r="578" spans="1:7" outlineLevel="1" collapsed="1" x14ac:dyDescent="0.3">
      <c r="E578" s="1" t="s">
        <v>1457</v>
      </c>
      <c r="F578" t="str">
        <f>F577</f>
        <v>Downfall, Scalpel Of The Emperor</v>
      </c>
      <c r="G578">
        <f>SUBTOTAL(3,G575:G577)</f>
        <v>3</v>
      </c>
    </row>
    <row r="579" spans="1:7" hidden="1" outlineLevel="2" x14ac:dyDescent="0.3">
      <c r="A579">
        <v>384</v>
      </c>
      <c r="B579" t="s">
        <v>497</v>
      </c>
      <c r="C579">
        <v>21</v>
      </c>
      <c r="D579" t="s">
        <v>39</v>
      </c>
      <c r="E579">
        <v>110</v>
      </c>
      <c r="F579" t="s">
        <v>105</v>
      </c>
      <c r="G579">
        <v>1.44</v>
      </c>
    </row>
    <row r="580" spans="1:7" hidden="1" outlineLevel="2" x14ac:dyDescent="0.3">
      <c r="A580">
        <v>762</v>
      </c>
      <c r="B580" t="s">
        <v>503</v>
      </c>
      <c r="C580">
        <v>26</v>
      </c>
      <c r="D580" t="s">
        <v>8</v>
      </c>
      <c r="E580">
        <v>110</v>
      </c>
      <c r="F580" t="s">
        <v>105</v>
      </c>
      <c r="G580">
        <v>1.44</v>
      </c>
    </row>
    <row r="581" spans="1:7" hidden="1" outlineLevel="2" x14ac:dyDescent="0.3">
      <c r="A581">
        <v>743</v>
      </c>
      <c r="B581" t="s">
        <v>746</v>
      </c>
      <c r="C581">
        <v>15</v>
      </c>
      <c r="D581" t="s">
        <v>8</v>
      </c>
      <c r="E581">
        <v>110</v>
      </c>
      <c r="F581" t="s">
        <v>105</v>
      </c>
      <c r="G581">
        <v>1.44</v>
      </c>
    </row>
    <row r="582" spans="1:7" hidden="1" outlineLevel="2" x14ac:dyDescent="0.3">
      <c r="A582">
        <v>49</v>
      </c>
      <c r="B582" t="s">
        <v>104</v>
      </c>
      <c r="C582">
        <v>33</v>
      </c>
      <c r="D582" t="s">
        <v>8</v>
      </c>
      <c r="E582">
        <v>110</v>
      </c>
      <c r="F582" t="s">
        <v>105</v>
      </c>
      <c r="G582">
        <v>1.44</v>
      </c>
    </row>
    <row r="583" spans="1:7" hidden="1" outlineLevel="2" x14ac:dyDescent="0.3">
      <c r="A583">
        <v>152</v>
      </c>
      <c r="B583" t="s">
        <v>250</v>
      </c>
      <c r="C583">
        <v>20</v>
      </c>
      <c r="D583" t="s">
        <v>8</v>
      </c>
      <c r="E583">
        <v>110</v>
      </c>
      <c r="F583" t="s">
        <v>105</v>
      </c>
      <c r="G583">
        <v>1.44</v>
      </c>
    </row>
    <row r="584" spans="1:7" hidden="1" outlineLevel="2" x14ac:dyDescent="0.3">
      <c r="A584">
        <v>298</v>
      </c>
      <c r="B584" t="s">
        <v>417</v>
      </c>
      <c r="C584">
        <v>25</v>
      </c>
      <c r="D584" t="s">
        <v>8</v>
      </c>
      <c r="E584">
        <v>110</v>
      </c>
      <c r="F584" t="s">
        <v>105</v>
      </c>
      <c r="G584">
        <v>1.44</v>
      </c>
    </row>
    <row r="585" spans="1:7" hidden="1" outlineLevel="2" x14ac:dyDescent="0.3">
      <c r="A585">
        <v>505</v>
      </c>
      <c r="B585" t="s">
        <v>596</v>
      </c>
      <c r="C585">
        <v>19</v>
      </c>
      <c r="D585" t="s">
        <v>8</v>
      </c>
      <c r="E585">
        <v>110</v>
      </c>
      <c r="F585" t="s">
        <v>105</v>
      </c>
      <c r="G585">
        <v>1.44</v>
      </c>
    </row>
    <row r="586" spans="1:7" outlineLevel="1" collapsed="1" x14ac:dyDescent="0.3">
      <c r="E586" s="1" t="s">
        <v>1458</v>
      </c>
      <c r="F586" t="str">
        <f>F585</f>
        <v>Suspension</v>
      </c>
      <c r="G586">
        <f>SUBTOTAL(3,G579:G585)</f>
        <v>7</v>
      </c>
    </row>
    <row r="587" spans="1:7" hidden="1" outlineLevel="2" x14ac:dyDescent="0.3">
      <c r="A587">
        <v>598</v>
      </c>
      <c r="B587" t="s">
        <v>657</v>
      </c>
      <c r="C587">
        <v>22</v>
      </c>
      <c r="D587" t="s">
        <v>8</v>
      </c>
      <c r="E587">
        <v>111</v>
      </c>
      <c r="F587" t="s">
        <v>256</v>
      </c>
      <c r="G587">
        <v>4.8899999999999997</v>
      </c>
    </row>
    <row r="588" spans="1:7" hidden="1" outlineLevel="2" x14ac:dyDescent="0.3">
      <c r="A588">
        <v>676</v>
      </c>
      <c r="B588" t="s">
        <v>409</v>
      </c>
      <c r="C588">
        <v>24</v>
      </c>
      <c r="D588" t="s">
        <v>8</v>
      </c>
      <c r="E588">
        <v>111</v>
      </c>
      <c r="F588" t="s">
        <v>256</v>
      </c>
      <c r="G588">
        <v>4.8899999999999997</v>
      </c>
    </row>
    <row r="589" spans="1:7" hidden="1" outlineLevel="2" x14ac:dyDescent="0.3">
      <c r="A589">
        <v>695</v>
      </c>
      <c r="B589" t="s">
        <v>289</v>
      </c>
      <c r="C589">
        <v>38</v>
      </c>
      <c r="D589" t="s">
        <v>8</v>
      </c>
      <c r="E589">
        <v>111</v>
      </c>
      <c r="F589" t="s">
        <v>256</v>
      </c>
      <c r="G589">
        <v>4.8899999999999997</v>
      </c>
    </row>
    <row r="590" spans="1:7" hidden="1" outlineLevel="2" x14ac:dyDescent="0.3">
      <c r="A590">
        <v>158</v>
      </c>
      <c r="B590" t="s">
        <v>255</v>
      </c>
      <c r="C590">
        <v>31</v>
      </c>
      <c r="D590" t="s">
        <v>8</v>
      </c>
      <c r="E590">
        <v>111</v>
      </c>
      <c r="F590" t="s">
        <v>256</v>
      </c>
      <c r="G590">
        <v>4.8899999999999997</v>
      </c>
    </row>
    <row r="591" spans="1:7" outlineLevel="1" collapsed="1" x14ac:dyDescent="0.3">
      <c r="E591" s="1" t="s">
        <v>1459</v>
      </c>
      <c r="F591" t="str">
        <f>F590</f>
        <v>Misery's End</v>
      </c>
      <c r="G591">
        <f>SUBTOTAL(3,G587:G590)</f>
        <v>4</v>
      </c>
    </row>
    <row r="592" spans="1:7" hidden="1" outlineLevel="2" x14ac:dyDescent="0.3">
      <c r="A592">
        <v>691</v>
      </c>
      <c r="B592" t="s">
        <v>574</v>
      </c>
      <c r="C592">
        <v>24</v>
      </c>
      <c r="D592" t="s">
        <v>8</v>
      </c>
      <c r="E592">
        <v>112</v>
      </c>
      <c r="F592" t="s">
        <v>566</v>
      </c>
      <c r="G592">
        <v>2.6</v>
      </c>
    </row>
    <row r="593" spans="1:7" hidden="1" outlineLevel="2" x14ac:dyDescent="0.3">
      <c r="A593">
        <v>752</v>
      </c>
      <c r="B593" t="s">
        <v>752</v>
      </c>
      <c r="C593">
        <v>17</v>
      </c>
      <c r="D593" t="s">
        <v>8</v>
      </c>
      <c r="E593">
        <v>112</v>
      </c>
      <c r="F593" t="s">
        <v>566</v>
      </c>
      <c r="G593">
        <v>2.6</v>
      </c>
    </row>
    <row r="594" spans="1:7" hidden="1" outlineLevel="2" x14ac:dyDescent="0.3">
      <c r="A594">
        <v>537</v>
      </c>
      <c r="B594" t="s">
        <v>617</v>
      </c>
      <c r="C594">
        <v>25</v>
      </c>
      <c r="D594" t="s">
        <v>8</v>
      </c>
      <c r="E594">
        <v>112</v>
      </c>
      <c r="F594" t="s">
        <v>566</v>
      </c>
      <c r="G594">
        <v>2.6</v>
      </c>
    </row>
    <row r="595" spans="1:7" hidden="1" outlineLevel="2" x14ac:dyDescent="0.3">
      <c r="A595">
        <v>466</v>
      </c>
      <c r="B595" t="s">
        <v>565</v>
      </c>
      <c r="C595">
        <v>23</v>
      </c>
      <c r="D595" t="s">
        <v>8</v>
      </c>
      <c r="E595">
        <v>112</v>
      </c>
      <c r="F595" t="s">
        <v>566</v>
      </c>
      <c r="G595">
        <v>2.6</v>
      </c>
    </row>
    <row r="596" spans="1:7" outlineLevel="1" collapsed="1" x14ac:dyDescent="0.3">
      <c r="E596" s="1" t="s">
        <v>1460</v>
      </c>
      <c r="F596" t="str">
        <f>F595</f>
        <v>Worldbreaker</v>
      </c>
      <c r="G596">
        <f>SUBTOTAL(3,G592:G595)</f>
        <v>4</v>
      </c>
    </row>
    <row r="597" spans="1:7" hidden="1" outlineLevel="2" x14ac:dyDescent="0.3">
      <c r="A597">
        <v>591</v>
      </c>
      <c r="B597" t="s">
        <v>653</v>
      </c>
      <c r="C597">
        <v>20</v>
      </c>
      <c r="D597" t="s">
        <v>8</v>
      </c>
      <c r="E597">
        <v>113</v>
      </c>
      <c r="F597" t="s">
        <v>309</v>
      </c>
      <c r="G597">
        <v>4.07</v>
      </c>
    </row>
    <row r="598" spans="1:7" hidden="1" outlineLevel="2" x14ac:dyDescent="0.3">
      <c r="A598">
        <v>195</v>
      </c>
      <c r="B598" t="s">
        <v>308</v>
      </c>
      <c r="C598">
        <v>39</v>
      </c>
      <c r="D598" t="s">
        <v>8</v>
      </c>
      <c r="E598">
        <v>113</v>
      </c>
      <c r="F598" t="s">
        <v>309</v>
      </c>
      <c r="G598">
        <v>4.07</v>
      </c>
    </row>
    <row r="599" spans="1:7" hidden="1" outlineLevel="2" x14ac:dyDescent="0.3">
      <c r="A599">
        <v>764</v>
      </c>
      <c r="B599" t="s">
        <v>439</v>
      </c>
      <c r="C599">
        <v>18</v>
      </c>
      <c r="D599" t="s">
        <v>8</v>
      </c>
      <c r="E599">
        <v>113</v>
      </c>
      <c r="F599" t="s">
        <v>309</v>
      </c>
      <c r="G599">
        <v>4.07</v>
      </c>
    </row>
    <row r="600" spans="1:7" hidden="1" outlineLevel="2" x14ac:dyDescent="0.3">
      <c r="A600">
        <v>266</v>
      </c>
      <c r="B600" t="s">
        <v>57</v>
      </c>
      <c r="C600">
        <v>30</v>
      </c>
      <c r="D600" t="s">
        <v>8</v>
      </c>
      <c r="E600">
        <v>113</v>
      </c>
      <c r="F600" t="s">
        <v>309</v>
      </c>
      <c r="G600">
        <v>4.07</v>
      </c>
    </row>
    <row r="601" spans="1:7" outlineLevel="1" collapsed="1" x14ac:dyDescent="0.3">
      <c r="E601" s="1" t="s">
        <v>1461</v>
      </c>
      <c r="F601" t="str">
        <f>F600</f>
        <v>Solitude's Reaver</v>
      </c>
      <c r="G601">
        <f>SUBTOTAL(3,G597:G600)</f>
        <v>4</v>
      </c>
    </row>
    <row r="602" spans="1:7" hidden="1" outlineLevel="2" x14ac:dyDescent="0.3">
      <c r="A602">
        <v>333</v>
      </c>
      <c r="B602" t="s">
        <v>448</v>
      </c>
      <c r="C602">
        <v>17</v>
      </c>
      <c r="D602" t="s">
        <v>39</v>
      </c>
      <c r="E602">
        <v>114</v>
      </c>
      <c r="F602" t="s">
        <v>315</v>
      </c>
      <c r="G602">
        <v>3.82</v>
      </c>
    </row>
    <row r="603" spans="1:7" hidden="1" outlineLevel="2" x14ac:dyDescent="0.3">
      <c r="A603">
        <v>623</v>
      </c>
      <c r="B603" t="s">
        <v>220</v>
      </c>
      <c r="C603">
        <v>21</v>
      </c>
      <c r="D603" t="s">
        <v>8</v>
      </c>
      <c r="E603">
        <v>114</v>
      </c>
      <c r="F603" t="s">
        <v>315</v>
      </c>
      <c r="G603">
        <v>3.82</v>
      </c>
    </row>
    <row r="604" spans="1:7" hidden="1" outlineLevel="2" x14ac:dyDescent="0.3">
      <c r="A604">
        <v>645</v>
      </c>
      <c r="B604" t="s">
        <v>683</v>
      </c>
      <c r="C604">
        <v>17</v>
      </c>
      <c r="D604" t="s">
        <v>8</v>
      </c>
      <c r="E604">
        <v>114</v>
      </c>
      <c r="F604" t="s">
        <v>315</v>
      </c>
      <c r="G604">
        <v>3.82</v>
      </c>
    </row>
    <row r="605" spans="1:7" hidden="1" outlineLevel="2" x14ac:dyDescent="0.3">
      <c r="A605">
        <v>200</v>
      </c>
      <c r="B605" t="s">
        <v>314</v>
      </c>
      <c r="C605">
        <v>23</v>
      </c>
      <c r="D605" t="s">
        <v>8</v>
      </c>
      <c r="E605">
        <v>114</v>
      </c>
      <c r="F605" t="s">
        <v>315</v>
      </c>
      <c r="G605">
        <v>3.82</v>
      </c>
    </row>
    <row r="606" spans="1:7" hidden="1" outlineLevel="2" x14ac:dyDescent="0.3">
      <c r="A606">
        <v>232</v>
      </c>
      <c r="B606" t="s">
        <v>255</v>
      </c>
      <c r="C606">
        <v>31</v>
      </c>
      <c r="D606" t="s">
        <v>8</v>
      </c>
      <c r="E606">
        <v>114</v>
      </c>
      <c r="F606" t="s">
        <v>315</v>
      </c>
      <c r="G606">
        <v>3.82</v>
      </c>
    </row>
    <row r="607" spans="1:7" outlineLevel="1" collapsed="1" x14ac:dyDescent="0.3">
      <c r="E607" s="1" t="s">
        <v>1462</v>
      </c>
      <c r="F607" t="str">
        <f>F606</f>
        <v>Yearning Mageblade</v>
      </c>
      <c r="G607">
        <f>SUBTOTAL(3,G602:G606)</f>
        <v>5</v>
      </c>
    </row>
    <row r="608" spans="1:7" hidden="1" outlineLevel="2" x14ac:dyDescent="0.3">
      <c r="A608">
        <v>584</v>
      </c>
      <c r="B608" t="s">
        <v>109</v>
      </c>
      <c r="C608">
        <v>20</v>
      </c>
      <c r="D608" t="s">
        <v>8</v>
      </c>
      <c r="E608">
        <v>115</v>
      </c>
      <c r="F608" t="s">
        <v>647</v>
      </c>
      <c r="G608">
        <v>2.04</v>
      </c>
    </row>
    <row r="609" spans="1:7" hidden="1" outlineLevel="2" x14ac:dyDescent="0.3">
      <c r="A609">
        <v>656</v>
      </c>
      <c r="B609" t="s">
        <v>690</v>
      </c>
      <c r="C609">
        <v>26</v>
      </c>
      <c r="D609" t="s">
        <v>8</v>
      </c>
      <c r="E609">
        <v>115</v>
      </c>
      <c r="F609" t="s">
        <v>647</v>
      </c>
      <c r="G609">
        <v>2.04</v>
      </c>
    </row>
    <row r="610" spans="1:7" outlineLevel="1" collapsed="1" x14ac:dyDescent="0.3">
      <c r="E610" s="1" t="s">
        <v>1463</v>
      </c>
      <c r="F610" t="str">
        <f>F609</f>
        <v>Spectral Diamond Doomblade</v>
      </c>
      <c r="G610">
        <f>SUBTOTAL(3,G608:G609)</f>
        <v>2</v>
      </c>
    </row>
    <row r="611" spans="1:7" hidden="1" outlineLevel="2" x14ac:dyDescent="0.3">
      <c r="A611">
        <v>38</v>
      </c>
      <c r="B611" t="s">
        <v>85</v>
      </c>
      <c r="C611">
        <v>10</v>
      </c>
      <c r="D611" t="s">
        <v>39</v>
      </c>
      <c r="E611">
        <v>116</v>
      </c>
      <c r="F611" t="s">
        <v>33</v>
      </c>
      <c r="G611">
        <v>4.18</v>
      </c>
    </row>
    <row r="612" spans="1:7" hidden="1" outlineLevel="2" x14ac:dyDescent="0.3">
      <c r="A612">
        <v>43</v>
      </c>
      <c r="B612" t="s">
        <v>93</v>
      </c>
      <c r="C612">
        <v>24</v>
      </c>
      <c r="D612" t="s">
        <v>8</v>
      </c>
      <c r="E612">
        <v>116</v>
      </c>
      <c r="F612" t="s">
        <v>33</v>
      </c>
      <c r="G612">
        <v>4.18</v>
      </c>
    </row>
    <row r="613" spans="1:7" hidden="1" outlineLevel="2" x14ac:dyDescent="0.3">
      <c r="A613">
        <v>646</v>
      </c>
      <c r="B613" t="s">
        <v>684</v>
      </c>
      <c r="C613">
        <v>23</v>
      </c>
      <c r="D613" t="s">
        <v>8</v>
      </c>
      <c r="E613">
        <v>116</v>
      </c>
      <c r="F613" t="s">
        <v>33</v>
      </c>
      <c r="G613">
        <v>4.18</v>
      </c>
    </row>
    <row r="614" spans="1:7" hidden="1" outlineLevel="2" x14ac:dyDescent="0.3">
      <c r="A614">
        <v>12</v>
      </c>
      <c r="B614" t="s">
        <v>32</v>
      </c>
      <c r="C614">
        <v>21</v>
      </c>
      <c r="D614" t="s">
        <v>8</v>
      </c>
      <c r="E614">
        <v>116</v>
      </c>
      <c r="F614" t="s">
        <v>33</v>
      </c>
      <c r="G614">
        <v>4.18</v>
      </c>
    </row>
    <row r="615" spans="1:7" outlineLevel="1" collapsed="1" x14ac:dyDescent="0.3">
      <c r="E615" s="1" t="s">
        <v>1464</v>
      </c>
      <c r="F615" t="str">
        <f>F614</f>
        <v>Renewed Skeletal Katana</v>
      </c>
      <c r="G615">
        <f>SUBTOTAL(3,G611:G614)</f>
        <v>4</v>
      </c>
    </row>
    <row r="616" spans="1:7" hidden="1" outlineLevel="2" x14ac:dyDescent="0.3">
      <c r="A616">
        <v>117</v>
      </c>
      <c r="B616" t="s">
        <v>206</v>
      </c>
      <c r="C616">
        <v>21</v>
      </c>
      <c r="D616" t="s">
        <v>39</v>
      </c>
      <c r="E616">
        <v>117</v>
      </c>
      <c r="F616" t="s">
        <v>207</v>
      </c>
      <c r="G616">
        <v>1.79</v>
      </c>
    </row>
    <row r="617" spans="1:7" hidden="1" outlineLevel="2" x14ac:dyDescent="0.3">
      <c r="A617">
        <v>310</v>
      </c>
      <c r="B617" t="s">
        <v>429</v>
      </c>
      <c r="C617">
        <v>30</v>
      </c>
      <c r="D617" t="s">
        <v>8</v>
      </c>
      <c r="E617">
        <v>117</v>
      </c>
      <c r="F617" t="s">
        <v>207</v>
      </c>
      <c r="G617">
        <v>1.79</v>
      </c>
    </row>
    <row r="618" spans="1:7" hidden="1" outlineLevel="2" x14ac:dyDescent="0.3">
      <c r="A618">
        <v>539</v>
      </c>
      <c r="B618" t="s">
        <v>619</v>
      </c>
      <c r="C618">
        <v>11</v>
      </c>
      <c r="D618" t="s">
        <v>8</v>
      </c>
      <c r="E618">
        <v>117</v>
      </c>
      <c r="F618" t="s">
        <v>207</v>
      </c>
      <c r="G618">
        <v>1.79</v>
      </c>
    </row>
    <row r="619" spans="1:7" hidden="1" outlineLevel="2" x14ac:dyDescent="0.3">
      <c r="A619">
        <v>156</v>
      </c>
      <c r="B619" t="s">
        <v>55</v>
      </c>
      <c r="C619">
        <v>40</v>
      </c>
      <c r="D619" t="s">
        <v>8</v>
      </c>
      <c r="E619">
        <v>117</v>
      </c>
      <c r="F619" t="s">
        <v>207</v>
      </c>
      <c r="G619">
        <v>1.79</v>
      </c>
    </row>
    <row r="620" spans="1:7" hidden="1" outlineLevel="2" x14ac:dyDescent="0.3">
      <c r="A620">
        <v>509</v>
      </c>
      <c r="B620" t="s">
        <v>29</v>
      </c>
      <c r="C620">
        <v>23</v>
      </c>
      <c r="D620" t="s">
        <v>8</v>
      </c>
      <c r="E620">
        <v>117</v>
      </c>
      <c r="F620" t="s">
        <v>207</v>
      </c>
      <c r="G620">
        <v>1.79</v>
      </c>
    </row>
    <row r="621" spans="1:7" hidden="1" outlineLevel="2" x14ac:dyDescent="0.3">
      <c r="A621">
        <v>293</v>
      </c>
      <c r="B621" t="s">
        <v>272</v>
      </c>
      <c r="C621">
        <v>22</v>
      </c>
      <c r="D621" t="s">
        <v>8</v>
      </c>
      <c r="E621">
        <v>117</v>
      </c>
      <c r="F621" t="s">
        <v>207</v>
      </c>
      <c r="G621">
        <v>1.79</v>
      </c>
    </row>
    <row r="622" spans="1:7" hidden="1" outlineLevel="2" x14ac:dyDescent="0.3">
      <c r="A622">
        <v>581</v>
      </c>
      <c r="B622" t="s">
        <v>644</v>
      </c>
      <c r="C622">
        <v>23</v>
      </c>
      <c r="D622" t="s">
        <v>8</v>
      </c>
      <c r="E622">
        <v>117</v>
      </c>
      <c r="F622" t="s">
        <v>207</v>
      </c>
      <c r="G622">
        <v>1.79</v>
      </c>
    </row>
    <row r="623" spans="1:7" outlineLevel="1" collapsed="1" x14ac:dyDescent="0.3">
      <c r="E623" s="1" t="s">
        <v>1465</v>
      </c>
      <c r="F623" t="str">
        <f>F622</f>
        <v>Heartstriker, Legacy of the Light</v>
      </c>
      <c r="G623">
        <f>SUBTOTAL(3,G616:G622)</f>
        <v>7</v>
      </c>
    </row>
    <row r="624" spans="1:7" hidden="1" outlineLevel="2" x14ac:dyDescent="0.3">
      <c r="A624">
        <v>321</v>
      </c>
      <c r="B624" t="s">
        <v>437</v>
      </c>
      <c r="C624">
        <v>33</v>
      </c>
      <c r="D624" t="s">
        <v>8</v>
      </c>
      <c r="E624">
        <v>118</v>
      </c>
      <c r="F624" t="s">
        <v>438</v>
      </c>
      <c r="G624">
        <v>2.17</v>
      </c>
    </row>
    <row r="625" spans="1:7" outlineLevel="1" collapsed="1" x14ac:dyDescent="0.3">
      <c r="E625" s="1" t="s">
        <v>1466</v>
      </c>
      <c r="F625" t="str">
        <f>F624</f>
        <v>Ghost Reaver, Longsword of Magic</v>
      </c>
      <c r="G625">
        <f>SUBTOTAL(3,G624:G624)</f>
        <v>1</v>
      </c>
    </row>
    <row r="626" spans="1:7" hidden="1" outlineLevel="2" x14ac:dyDescent="0.3">
      <c r="A626">
        <v>446</v>
      </c>
      <c r="B626" t="s">
        <v>547</v>
      </c>
      <c r="C626">
        <v>7</v>
      </c>
      <c r="D626" t="s">
        <v>39</v>
      </c>
      <c r="E626">
        <v>119</v>
      </c>
      <c r="F626" t="s">
        <v>66</v>
      </c>
      <c r="G626">
        <v>4.32</v>
      </c>
    </row>
    <row r="627" spans="1:7" hidden="1" outlineLevel="2" x14ac:dyDescent="0.3">
      <c r="A627">
        <v>28</v>
      </c>
      <c r="B627" t="s">
        <v>65</v>
      </c>
      <c r="C627">
        <v>21</v>
      </c>
      <c r="D627" t="s">
        <v>8</v>
      </c>
      <c r="E627">
        <v>119</v>
      </c>
      <c r="F627" t="s">
        <v>66</v>
      </c>
      <c r="G627">
        <v>4.32</v>
      </c>
    </row>
    <row r="628" spans="1:7" hidden="1" outlineLevel="2" x14ac:dyDescent="0.3">
      <c r="A628">
        <v>264</v>
      </c>
      <c r="B628" t="s">
        <v>36</v>
      </c>
      <c r="C628">
        <v>35</v>
      </c>
      <c r="D628" t="s">
        <v>8</v>
      </c>
      <c r="E628">
        <v>119</v>
      </c>
      <c r="F628" t="s">
        <v>66</v>
      </c>
      <c r="G628">
        <v>4.32</v>
      </c>
    </row>
    <row r="629" spans="1:7" outlineLevel="1" collapsed="1" x14ac:dyDescent="0.3">
      <c r="E629" s="1" t="s">
        <v>1467</v>
      </c>
      <c r="F629" t="str">
        <f>F628</f>
        <v>Stormbringer, Dark Blade of Ending Misery</v>
      </c>
      <c r="G629">
        <f>SUBTOTAL(3,G626:G628)</f>
        <v>3</v>
      </c>
    </row>
    <row r="630" spans="1:7" hidden="1" outlineLevel="2" x14ac:dyDescent="0.3">
      <c r="A630">
        <v>670</v>
      </c>
      <c r="B630" t="s">
        <v>177</v>
      </c>
      <c r="C630">
        <v>20</v>
      </c>
      <c r="D630" t="s">
        <v>8</v>
      </c>
      <c r="E630">
        <v>120</v>
      </c>
      <c r="F630" t="s">
        <v>225</v>
      </c>
      <c r="G630">
        <v>3.08</v>
      </c>
    </row>
    <row r="631" spans="1:7" hidden="1" outlineLevel="2" x14ac:dyDescent="0.3">
      <c r="A631">
        <v>211</v>
      </c>
      <c r="B631" t="s">
        <v>325</v>
      </c>
      <c r="C631">
        <v>17</v>
      </c>
      <c r="D631" t="s">
        <v>8</v>
      </c>
      <c r="E631">
        <v>120</v>
      </c>
      <c r="F631" t="s">
        <v>225</v>
      </c>
      <c r="G631">
        <v>3.08</v>
      </c>
    </row>
    <row r="632" spans="1:7" hidden="1" outlineLevel="2" x14ac:dyDescent="0.3">
      <c r="A632">
        <v>432</v>
      </c>
      <c r="B632" t="s">
        <v>536</v>
      </c>
      <c r="C632">
        <v>18</v>
      </c>
      <c r="D632" t="s">
        <v>8</v>
      </c>
      <c r="E632">
        <v>120</v>
      </c>
      <c r="F632" t="s">
        <v>225</v>
      </c>
      <c r="G632">
        <v>3.08</v>
      </c>
    </row>
    <row r="633" spans="1:7" hidden="1" outlineLevel="2" x14ac:dyDescent="0.3">
      <c r="A633">
        <v>130</v>
      </c>
      <c r="B633" t="s">
        <v>224</v>
      </c>
      <c r="C633">
        <v>25</v>
      </c>
      <c r="D633" t="s">
        <v>8</v>
      </c>
      <c r="E633">
        <v>120</v>
      </c>
      <c r="F633" t="s">
        <v>225</v>
      </c>
      <c r="G633">
        <v>3.08</v>
      </c>
    </row>
    <row r="634" spans="1:7" hidden="1" outlineLevel="2" x14ac:dyDescent="0.3">
      <c r="A634">
        <v>415</v>
      </c>
      <c r="B634" t="s">
        <v>525</v>
      </c>
      <c r="C634">
        <v>22</v>
      </c>
      <c r="D634" t="s">
        <v>8</v>
      </c>
      <c r="E634">
        <v>120</v>
      </c>
      <c r="F634" t="s">
        <v>225</v>
      </c>
      <c r="G634">
        <v>3.08</v>
      </c>
    </row>
    <row r="635" spans="1:7" hidden="1" outlineLevel="2" x14ac:dyDescent="0.3">
      <c r="A635">
        <v>447</v>
      </c>
      <c r="B635" t="s">
        <v>18</v>
      </c>
      <c r="C635">
        <v>22</v>
      </c>
      <c r="D635" t="s">
        <v>8</v>
      </c>
      <c r="E635">
        <v>120</v>
      </c>
      <c r="F635" t="s">
        <v>225</v>
      </c>
      <c r="G635">
        <v>3.08</v>
      </c>
    </row>
    <row r="636" spans="1:7" outlineLevel="1" collapsed="1" x14ac:dyDescent="0.3">
      <c r="E636" s="1" t="s">
        <v>1468</v>
      </c>
      <c r="F636" t="str">
        <f>F635</f>
        <v>Agatha</v>
      </c>
      <c r="G636">
        <f>SUBTOTAL(3,G630:G635)</f>
        <v>6</v>
      </c>
    </row>
    <row r="637" spans="1:7" hidden="1" outlineLevel="2" x14ac:dyDescent="0.3">
      <c r="A637">
        <v>351</v>
      </c>
      <c r="B637" t="s">
        <v>142</v>
      </c>
      <c r="C637">
        <v>21</v>
      </c>
      <c r="D637" t="s">
        <v>8</v>
      </c>
      <c r="E637">
        <v>121</v>
      </c>
      <c r="F637" t="s">
        <v>463</v>
      </c>
      <c r="G637">
        <v>1.6</v>
      </c>
    </row>
    <row r="638" spans="1:7" hidden="1" outlineLevel="2" x14ac:dyDescent="0.3">
      <c r="A638">
        <v>738</v>
      </c>
      <c r="B638" t="s">
        <v>742</v>
      </c>
      <c r="C638">
        <v>36</v>
      </c>
      <c r="D638" t="s">
        <v>8</v>
      </c>
      <c r="E638">
        <v>121</v>
      </c>
      <c r="F638" t="s">
        <v>463</v>
      </c>
      <c r="G638">
        <v>1.6</v>
      </c>
    </row>
    <row r="639" spans="1:7" hidden="1" outlineLevel="2" x14ac:dyDescent="0.3">
      <c r="A639">
        <v>543</v>
      </c>
      <c r="B639" t="s">
        <v>409</v>
      </c>
      <c r="C639">
        <v>24</v>
      </c>
      <c r="D639" t="s">
        <v>8</v>
      </c>
      <c r="E639">
        <v>121</v>
      </c>
      <c r="F639" t="s">
        <v>463</v>
      </c>
      <c r="G639">
        <v>1.6</v>
      </c>
    </row>
    <row r="640" spans="1:7" hidden="1" outlineLevel="2" x14ac:dyDescent="0.3">
      <c r="A640">
        <v>346</v>
      </c>
      <c r="B640" t="s">
        <v>439</v>
      </c>
      <c r="C640">
        <v>18</v>
      </c>
      <c r="D640" t="s">
        <v>8</v>
      </c>
      <c r="E640">
        <v>121</v>
      </c>
      <c r="F640" t="s">
        <v>463</v>
      </c>
      <c r="G640">
        <v>1.6</v>
      </c>
    </row>
    <row r="641" spans="1:7" outlineLevel="1" collapsed="1" x14ac:dyDescent="0.3">
      <c r="E641" s="1" t="s">
        <v>1469</v>
      </c>
      <c r="F641" t="str">
        <f>F640</f>
        <v>Massacre</v>
      </c>
      <c r="G641">
        <f>SUBTOTAL(3,G637:G640)</f>
        <v>4</v>
      </c>
    </row>
    <row r="642" spans="1:7" hidden="1" outlineLevel="2" x14ac:dyDescent="0.3">
      <c r="A642">
        <v>451</v>
      </c>
      <c r="B642" t="s">
        <v>551</v>
      </c>
      <c r="C642">
        <v>15</v>
      </c>
      <c r="D642" t="s">
        <v>39</v>
      </c>
      <c r="E642">
        <v>122</v>
      </c>
      <c r="F642" t="s">
        <v>552</v>
      </c>
      <c r="G642">
        <v>2.85</v>
      </c>
    </row>
    <row r="643" spans="1:7" hidden="1" outlineLevel="2" x14ac:dyDescent="0.3">
      <c r="A643">
        <v>672</v>
      </c>
      <c r="B643" t="s">
        <v>702</v>
      </c>
      <c r="C643">
        <v>9</v>
      </c>
      <c r="D643" t="s">
        <v>8</v>
      </c>
      <c r="E643">
        <v>122</v>
      </c>
      <c r="F643" t="s">
        <v>552</v>
      </c>
      <c r="G643">
        <v>2.85</v>
      </c>
    </row>
    <row r="644" spans="1:7" hidden="1" outlineLevel="2" x14ac:dyDescent="0.3">
      <c r="A644">
        <v>471</v>
      </c>
      <c r="B644" t="s">
        <v>571</v>
      </c>
      <c r="C644">
        <v>23</v>
      </c>
      <c r="D644" t="s">
        <v>8</v>
      </c>
      <c r="E644">
        <v>122</v>
      </c>
      <c r="F644" t="s">
        <v>552</v>
      </c>
      <c r="G644">
        <v>2.85</v>
      </c>
    </row>
    <row r="645" spans="1:7" outlineLevel="1" collapsed="1" x14ac:dyDescent="0.3">
      <c r="E645" s="1" t="s">
        <v>1470</v>
      </c>
      <c r="F645" t="str">
        <f>F644</f>
        <v>Unending Tyranny</v>
      </c>
      <c r="G645">
        <f>SUBTOTAL(3,G642:G644)</f>
        <v>3</v>
      </c>
    </row>
    <row r="646" spans="1:7" hidden="1" outlineLevel="2" x14ac:dyDescent="0.3">
      <c r="A646">
        <v>169</v>
      </c>
      <c r="B646" t="s">
        <v>270</v>
      </c>
      <c r="C646">
        <v>16</v>
      </c>
      <c r="D646" t="s">
        <v>39</v>
      </c>
      <c r="E646">
        <v>123</v>
      </c>
      <c r="F646" t="s">
        <v>271</v>
      </c>
      <c r="G646">
        <v>2.2799999999999998</v>
      </c>
    </row>
    <row r="647" spans="1:7" hidden="1" outlineLevel="2" x14ac:dyDescent="0.3">
      <c r="A647">
        <v>467</v>
      </c>
      <c r="B647" t="s">
        <v>567</v>
      </c>
      <c r="C647">
        <v>16</v>
      </c>
      <c r="D647" t="s">
        <v>8</v>
      </c>
      <c r="E647">
        <v>123</v>
      </c>
      <c r="F647" t="s">
        <v>271</v>
      </c>
      <c r="G647">
        <v>2.2799999999999998</v>
      </c>
    </row>
    <row r="648" spans="1:7" hidden="1" outlineLevel="2" x14ac:dyDescent="0.3">
      <c r="A648">
        <v>606</v>
      </c>
      <c r="B648" t="s">
        <v>203</v>
      </c>
      <c r="C648">
        <v>28</v>
      </c>
      <c r="D648" t="s">
        <v>8</v>
      </c>
      <c r="E648">
        <v>123</v>
      </c>
      <c r="F648" t="s">
        <v>271</v>
      </c>
      <c r="G648">
        <v>2.2799999999999998</v>
      </c>
    </row>
    <row r="649" spans="1:7" hidden="1" outlineLevel="2" x14ac:dyDescent="0.3">
      <c r="A649">
        <v>568</v>
      </c>
      <c r="B649" t="s">
        <v>622</v>
      </c>
      <c r="C649">
        <v>17</v>
      </c>
      <c r="D649" t="s">
        <v>8</v>
      </c>
      <c r="E649">
        <v>123</v>
      </c>
      <c r="F649" t="s">
        <v>271</v>
      </c>
      <c r="G649">
        <v>2.2799999999999998</v>
      </c>
    </row>
    <row r="650" spans="1:7" outlineLevel="1" collapsed="1" x14ac:dyDescent="0.3">
      <c r="E650" s="1" t="s">
        <v>1471</v>
      </c>
      <c r="F650" t="str">
        <f>F649</f>
        <v>Twilight's Carver</v>
      </c>
      <c r="G650">
        <f>SUBTOTAL(3,G646:G649)</f>
        <v>4</v>
      </c>
    </row>
    <row r="651" spans="1:7" hidden="1" outlineLevel="2" x14ac:dyDescent="0.3">
      <c r="A651">
        <v>339</v>
      </c>
      <c r="B651" t="s">
        <v>456</v>
      </c>
      <c r="C651">
        <v>8</v>
      </c>
      <c r="D651" t="s">
        <v>39</v>
      </c>
      <c r="E651">
        <v>124</v>
      </c>
      <c r="F651" t="s">
        <v>146</v>
      </c>
      <c r="G651">
        <v>1.29</v>
      </c>
    </row>
    <row r="652" spans="1:7" hidden="1" outlineLevel="2" x14ac:dyDescent="0.3">
      <c r="A652">
        <v>143</v>
      </c>
      <c r="B652" t="s">
        <v>240</v>
      </c>
      <c r="C652">
        <v>34</v>
      </c>
      <c r="D652" t="s">
        <v>8</v>
      </c>
      <c r="E652">
        <v>124</v>
      </c>
      <c r="F652" t="s">
        <v>146</v>
      </c>
      <c r="G652">
        <v>1.29</v>
      </c>
    </row>
    <row r="653" spans="1:7" hidden="1" outlineLevel="2" x14ac:dyDescent="0.3">
      <c r="A653">
        <v>456</v>
      </c>
      <c r="B653" t="s">
        <v>129</v>
      </c>
      <c r="C653">
        <v>20</v>
      </c>
      <c r="D653" t="s">
        <v>8</v>
      </c>
      <c r="E653">
        <v>124</v>
      </c>
      <c r="F653" t="s">
        <v>146</v>
      </c>
      <c r="G653">
        <v>1.29</v>
      </c>
    </row>
    <row r="654" spans="1:7" hidden="1" outlineLevel="2" x14ac:dyDescent="0.3">
      <c r="A654">
        <v>75</v>
      </c>
      <c r="B654" t="s">
        <v>145</v>
      </c>
      <c r="C654">
        <v>33</v>
      </c>
      <c r="D654" t="s">
        <v>8</v>
      </c>
      <c r="E654">
        <v>124</v>
      </c>
      <c r="F654" t="s">
        <v>146</v>
      </c>
      <c r="G654">
        <v>1.29</v>
      </c>
    </row>
    <row r="655" spans="1:7" outlineLevel="1" collapsed="1" x14ac:dyDescent="0.3">
      <c r="E655" s="1" t="s">
        <v>1472</v>
      </c>
      <c r="F655" t="str">
        <f>F654</f>
        <v>Venom Claymore</v>
      </c>
      <c r="G655">
        <f>SUBTOTAL(3,G651:G654)</f>
        <v>4</v>
      </c>
    </row>
    <row r="656" spans="1:7" hidden="1" outlineLevel="2" x14ac:dyDescent="0.3">
      <c r="A656">
        <v>418</v>
      </c>
      <c r="B656" t="s">
        <v>408</v>
      </c>
      <c r="C656">
        <v>25</v>
      </c>
      <c r="D656" t="s">
        <v>39</v>
      </c>
      <c r="E656">
        <v>125</v>
      </c>
      <c r="F656" t="s">
        <v>128</v>
      </c>
      <c r="G656">
        <v>1</v>
      </c>
    </row>
    <row r="657" spans="1:7" hidden="1" outlineLevel="2" x14ac:dyDescent="0.3">
      <c r="A657">
        <v>63</v>
      </c>
      <c r="B657" t="s">
        <v>127</v>
      </c>
      <c r="C657">
        <v>20</v>
      </c>
      <c r="D657" t="s">
        <v>8</v>
      </c>
      <c r="E657">
        <v>125</v>
      </c>
      <c r="F657" t="s">
        <v>128</v>
      </c>
      <c r="G657">
        <v>1</v>
      </c>
    </row>
    <row r="658" spans="1:7" outlineLevel="1" collapsed="1" x14ac:dyDescent="0.3">
      <c r="E658" s="1" t="s">
        <v>1473</v>
      </c>
      <c r="F658" t="str">
        <f>F657</f>
        <v>Whistling Mithril Warblade</v>
      </c>
      <c r="G658">
        <f>SUBTOTAL(3,G656:G657)</f>
        <v>2</v>
      </c>
    </row>
    <row r="659" spans="1:7" hidden="1" outlineLevel="2" x14ac:dyDescent="0.3">
      <c r="A659">
        <v>525</v>
      </c>
      <c r="B659" t="s">
        <v>258</v>
      </c>
      <c r="C659">
        <v>24</v>
      </c>
      <c r="D659" t="s">
        <v>8</v>
      </c>
      <c r="E659">
        <v>126</v>
      </c>
      <c r="F659" t="s">
        <v>609</v>
      </c>
      <c r="G659">
        <v>2</v>
      </c>
    </row>
    <row r="660" spans="1:7" outlineLevel="1" collapsed="1" x14ac:dyDescent="0.3">
      <c r="E660" s="1" t="s">
        <v>1474</v>
      </c>
      <c r="F660" t="str">
        <f>F659</f>
        <v>Exiled Mithril Longsword</v>
      </c>
      <c r="G660">
        <f>SUBTOTAL(3,G659:G659)</f>
        <v>1</v>
      </c>
    </row>
    <row r="661" spans="1:7" hidden="1" outlineLevel="2" x14ac:dyDescent="0.3">
      <c r="A661">
        <v>740</v>
      </c>
      <c r="B661" t="s">
        <v>45</v>
      </c>
      <c r="C661">
        <v>22</v>
      </c>
      <c r="D661" t="s">
        <v>39</v>
      </c>
      <c r="E661">
        <v>127</v>
      </c>
      <c r="F661" t="s">
        <v>681</v>
      </c>
      <c r="G661">
        <v>3.92</v>
      </c>
    </row>
    <row r="662" spans="1:7" hidden="1" outlineLevel="2" x14ac:dyDescent="0.3">
      <c r="A662">
        <v>642</v>
      </c>
      <c r="B662" t="s">
        <v>680</v>
      </c>
      <c r="C662">
        <v>23</v>
      </c>
      <c r="D662" t="s">
        <v>8</v>
      </c>
      <c r="E662">
        <v>127</v>
      </c>
      <c r="F662" t="s">
        <v>681</v>
      </c>
      <c r="G662">
        <v>3.92</v>
      </c>
    </row>
    <row r="663" spans="1:7" outlineLevel="1" collapsed="1" x14ac:dyDescent="0.3">
      <c r="E663" s="1" t="s">
        <v>1475</v>
      </c>
      <c r="F663" t="str">
        <f>F662</f>
        <v>Heartseeker, Reaver of Souls</v>
      </c>
      <c r="G663">
        <f>SUBTOTAL(3,G661:G662)</f>
        <v>2</v>
      </c>
    </row>
    <row r="664" spans="1:7" hidden="1" outlineLevel="2" x14ac:dyDescent="0.3">
      <c r="A664">
        <v>388</v>
      </c>
      <c r="B664" t="s">
        <v>501</v>
      </c>
      <c r="C664">
        <v>17</v>
      </c>
      <c r="D664" t="s">
        <v>8</v>
      </c>
      <c r="E664">
        <v>128</v>
      </c>
      <c r="F664" t="s">
        <v>402</v>
      </c>
      <c r="G664">
        <v>4.91</v>
      </c>
    </row>
    <row r="665" spans="1:7" hidden="1" outlineLevel="2" x14ac:dyDescent="0.3">
      <c r="A665">
        <v>517</v>
      </c>
      <c r="B665" t="s">
        <v>604</v>
      </c>
      <c r="C665">
        <v>39</v>
      </c>
      <c r="D665" t="s">
        <v>8</v>
      </c>
      <c r="E665">
        <v>128</v>
      </c>
      <c r="F665" t="s">
        <v>402</v>
      </c>
      <c r="G665">
        <v>4.91</v>
      </c>
    </row>
    <row r="666" spans="1:7" hidden="1" outlineLevel="2" x14ac:dyDescent="0.3">
      <c r="A666">
        <v>577</v>
      </c>
      <c r="B666" t="s">
        <v>643</v>
      </c>
      <c r="C666">
        <v>19</v>
      </c>
      <c r="D666" t="s">
        <v>8</v>
      </c>
      <c r="E666">
        <v>128</v>
      </c>
      <c r="F666" t="s">
        <v>402</v>
      </c>
      <c r="G666">
        <v>4.91</v>
      </c>
    </row>
    <row r="667" spans="1:7" hidden="1" outlineLevel="2" x14ac:dyDescent="0.3">
      <c r="A667">
        <v>284</v>
      </c>
      <c r="B667" t="s">
        <v>401</v>
      </c>
      <c r="C667">
        <v>24</v>
      </c>
      <c r="D667" t="s">
        <v>8</v>
      </c>
      <c r="E667">
        <v>128</v>
      </c>
      <c r="F667" t="s">
        <v>402</v>
      </c>
      <c r="G667">
        <v>4.91</v>
      </c>
    </row>
    <row r="668" spans="1:7" hidden="1" outlineLevel="2" x14ac:dyDescent="0.3">
      <c r="A668">
        <v>593</v>
      </c>
      <c r="B668" t="s">
        <v>554</v>
      </c>
      <c r="C668">
        <v>25</v>
      </c>
      <c r="D668" t="s">
        <v>8</v>
      </c>
      <c r="E668">
        <v>128</v>
      </c>
      <c r="F668" t="s">
        <v>402</v>
      </c>
      <c r="G668">
        <v>4.91</v>
      </c>
    </row>
    <row r="669" spans="1:7" outlineLevel="1" collapsed="1" x14ac:dyDescent="0.3">
      <c r="E669" s="1" t="s">
        <v>1476</v>
      </c>
      <c r="F669" t="str">
        <f>F668</f>
        <v>Blazeguard, Reach of Eternity</v>
      </c>
      <c r="G669">
        <f>SUBTOTAL(3,G664:G668)</f>
        <v>5</v>
      </c>
    </row>
    <row r="670" spans="1:7" hidden="1" outlineLevel="2" x14ac:dyDescent="0.3">
      <c r="A670">
        <v>402</v>
      </c>
      <c r="B670" t="s">
        <v>514</v>
      </c>
      <c r="C670">
        <v>23</v>
      </c>
      <c r="D670" t="s">
        <v>39</v>
      </c>
      <c r="E670">
        <v>129</v>
      </c>
      <c r="F670" t="s">
        <v>163</v>
      </c>
      <c r="G670">
        <v>1.54</v>
      </c>
    </row>
    <row r="671" spans="1:7" hidden="1" outlineLevel="2" x14ac:dyDescent="0.3">
      <c r="A671">
        <v>420</v>
      </c>
      <c r="B671" t="s">
        <v>526</v>
      </c>
      <c r="C671">
        <v>23</v>
      </c>
      <c r="D671" t="s">
        <v>8</v>
      </c>
      <c r="E671">
        <v>129</v>
      </c>
      <c r="F671" t="s">
        <v>163</v>
      </c>
      <c r="G671">
        <v>1.54</v>
      </c>
    </row>
    <row r="672" spans="1:7" hidden="1" outlineLevel="2" x14ac:dyDescent="0.3">
      <c r="A672">
        <v>622</v>
      </c>
      <c r="B672" t="s">
        <v>668</v>
      </c>
      <c r="C672">
        <v>25</v>
      </c>
      <c r="D672" t="s">
        <v>8</v>
      </c>
      <c r="E672">
        <v>129</v>
      </c>
      <c r="F672" t="s">
        <v>163</v>
      </c>
      <c r="G672">
        <v>1.54</v>
      </c>
    </row>
    <row r="673" spans="1:7" hidden="1" outlineLevel="2" x14ac:dyDescent="0.3">
      <c r="A673">
        <v>459</v>
      </c>
      <c r="B673" t="s">
        <v>559</v>
      </c>
      <c r="C673">
        <v>30</v>
      </c>
      <c r="D673" t="s">
        <v>8</v>
      </c>
      <c r="E673">
        <v>129</v>
      </c>
      <c r="F673" t="s">
        <v>163</v>
      </c>
      <c r="G673">
        <v>1.54</v>
      </c>
    </row>
    <row r="674" spans="1:7" hidden="1" outlineLevel="2" x14ac:dyDescent="0.3">
      <c r="A674">
        <v>386</v>
      </c>
      <c r="B674" t="s">
        <v>499</v>
      </c>
      <c r="C674">
        <v>21</v>
      </c>
      <c r="D674" t="s">
        <v>8</v>
      </c>
      <c r="E674">
        <v>129</v>
      </c>
      <c r="F674" t="s">
        <v>163</v>
      </c>
      <c r="G674">
        <v>1.54</v>
      </c>
    </row>
    <row r="675" spans="1:7" hidden="1" outlineLevel="2" x14ac:dyDescent="0.3">
      <c r="A675">
        <v>86</v>
      </c>
      <c r="B675" t="s">
        <v>162</v>
      </c>
      <c r="C675">
        <v>33</v>
      </c>
      <c r="D675" t="s">
        <v>8</v>
      </c>
      <c r="E675">
        <v>129</v>
      </c>
      <c r="F675" t="s">
        <v>163</v>
      </c>
      <c r="G675">
        <v>1.54</v>
      </c>
    </row>
    <row r="676" spans="1:7" outlineLevel="1" collapsed="1" x14ac:dyDescent="0.3">
      <c r="E676" s="1" t="s">
        <v>1477</v>
      </c>
      <c r="F676" t="str">
        <f>F675</f>
        <v>Fate, Vengeance of Eternal Justice</v>
      </c>
      <c r="G676">
        <f>SUBTOTAL(3,G670:G675)</f>
        <v>6</v>
      </c>
    </row>
    <row r="677" spans="1:7" hidden="1" outlineLevel="2" x14ac:dyDescent="0.3">
      <c r="A677">
        <v>699</v>
      </c>
      <c r="B677" t="s">
        <v>716</v>
      </c>
      <c r="C677">
        <v>17</v>
      </c>
      <c r="D677" t="s">
        <v>39</v>
      </c>
      <c r="E677">
        <v>130</v>
      </c>
      <c r="F677" t="s">
        <v>704</v>
      </c>
      <c r="G677">
        <v>2.0699999999999998</v>
      </c>
    </row>
    <row r="678" spans="1:7" hidden="1" outlineLevel="2" x14ac:dyDescent="0.3">
      <c r="A678">
        <v>673</v>
      </c>
      <c r="B678" t="s">
        <v>703</v>
      </c>
      <c r="C678">
        <v>30</v>
      </c>
      <c r="D678" t="s">
        <v>8</v>
      </c>
      <c r="E678">
        <v>130</v>
      </c>
      <c r="F678" t="s">
        <v>704</v>
      </c>
      <c r="G678">
        <v>2.0699999999999998</v>
      </c>
    </row>
    <row r="679" spans="1:7" hidden="1" outlineLevel="2" x14ac:dyDescent="0.3">
      <c r="A679">
        <v>765</v>
      </c>
      <c r="B679" t="s">
        <v>757</v>
      </c>
      <c r="C679">
        <v>18</v>
      </c>
      <c r="D679" t="s">
        <v>8</v>
      </c>
      <c r="E679">
        <v>130</v>
      </c>
      <c r="F679" t="s">
        <v>704</v>
      </c>
      <c r="G679">
        <v>2.0699999999999998</v>
      </c>
    </row>
    <row r="680" spans="1:7" outlineLevel="1" collapsed="1" x14ac:dyDescent="0.3">
      <c r="E680" s="1" t="s">
        <v>1478</v>
      </c>
      <c r="F680" t="str">
        <f>F679</f>
        <v>Alpha</v>
      </c>
      <c r="G680">
        <f>SUBTOTAL(3,G677:G679)</f>
        <v>3</v>
      </c>
    </row>
    <row r="681" spans="1:7" hidden="1" outlineLevel="2" x14ac:dyDescent="0.3">
      <c r="A681">
        <v>407</v>
      </c>
      <c r="B681" t="s">
        <v>69</v>
      </c>
      <c r="C681">
        <v>19</v>
      </c>
      <c r="D681" t="s">
        <v>8</v>
      </c>
      <c r="E681">
        <v>131</v>
      </c>
      <c r="F681" t="s">
        <v>17</v>
      </c>
      <c r="G681">
        <v>1.44</v>
      </c>
    </row>
    <row r="682" spans="1:7" hidden="1" outlineLevel="2" x14ac:dyDescent="0.3">
      <c r="A682">
        <v>4</v>
      </c>
      <c r="B682" t="s">
        <v>16</v>
      </c>
      <c r="C682">
        <v>23</v>
      </c>
      <c r="D682" t="s">
        <v>8</v>
      </c>
      <c r="E682">
        <v>131</v>
      </c>
      <c r="F682" t="s">
        <v>17</v>
      </c>
      <c r="G682">
        <v>1.44</v>
      </c>
    </row>
    <row r="683" spans="1:7" hidden="1" outlineLevel="2" x14ac:dyDescent="0.3">
      <c r="A683">
        <v>396</v>
      </c>
      <c r="B683" t="s">
        <v>509</v>
      </c>
      <c r="C683">
        <v>20</v>
      </c>
      <c r="D683" t="s">
        <v>8</v>
      </c>
      <c r="E683">
        <v>131</v>
      </c>
      <c r="F683" t="s">
        <v>17</v>
      </c>
      <c r="G683">
        <v>1.44</v>
      </c>
    </row>
    <row r="684" spans="1:7" hidden="1" outlineLevel="2" x14ac:dyDescent="0.3">
      <c r="A684">
        <v>323</v>
      </c>
      <c r="B684" t="s">
        <v>120</v>
      </c>
      <c r="C684">
        <v>23</v>
      </c>
      <c r="D684" t="s">
        <v>8</v>
      </c>
      <c r="E684">
        <v>131</v>
      </c>
      <c r="F684" t="s">
        <v>17</v>
      </c>
      <c r="G684">
        <v>1.44</v>
      </c>
    </row>
    <row r="685" spans="1:7" hidden="1" outlineLevel="2" x14ac:dyDescent="0.3">
      <c r="A685">
        <v>574</v>
      </c>
      <c r="B685" t="s">
        <v>565</v>
      </c>
      <c r="C685">
        <v>23</v>
      </c>
      <c r="D685" t="s">
        <v>8</v>
      </c>
      <c r="E685">
        <v>131</v>
      </c>
      <c r="F685" t="s">
        <v>17</v>
      </c>
      <c r="G685">
        <v>1.44</v>
      </c>
    </row>
    <row r="686" spans="1:7" outlineLevel="1" collapsed="1" x14ac:dyDescent="0.3">
      <c r="E686" s="1" t="s">
        <v>1479</v>
      </c>
      <c r="F686" t="str">
        <f>F685</f>
        <v>Fury</v>
      </c>
      <c r="G686">
        <f>SUBTOTAL(3,G681:G685)</f>
        <v>5</v>
      </c>
    </row>
    <row r="687" spans="1:7" hidden="1" outlineLevel="2" x14ac:dyDescent="0.3">
      <c r="A687">
        <v>608</v>
      </c>
      <c r="B687" t="s">
        <v>533</v>
      </c>
      <c r="C687">
        <v>24</v>
      </c>
      <c r="D687" t="s">
        <v>39</v>
      </c>
      <c r="E687">
        <v>132</v>
      </c>
      <c r="F687" t="s">
        <v>58</v>
      </c>
      <c r="G687">
        <v>3.33</v>
      </c>
    </row>
    <row r="688" spans="1:7" hidden="1" outlineLevel="2" x14ac:dyDescent="0.3">
      <c r="A688">
        <v>651</v>
      </c>
      <c r="B688" t="s">
        <v>436</v>
      </c>
      <c r="C688">
        <v>24</v>
      </c>
      <c r="D688" t="s">
        <v>8</v>
      </c>
      <c r="E688">
        <v>132</v>
      </c>
      <c r="F688" t="s">
        <v>58</v>
      </c>
      <c r="G688">
        <v>3.33</v>
      </c>
    </row>
    <row r="689" spans="1:7" outlineLevel="1" collapsed="1" x14ac:dyDescent="0.3">
      <c r="E689" s="1" t="s">
        <v>1480</v>
      </c>
      <c r="F689" t="str">
        <f>F688</f>
        <v>Persuasion</v>
      </c>
      <c r="G689">
        <f>SUBTOTAL(3,G687:G688)</f>
        <v>2</v>
      </c>
    </row>
    <row r="690" spans="1:7" hidden="1" outlineLevel="2" x14ac:dyDescent="0.3">
      <c r="A690">
        <v>32</v>
      </c>
      <c r="B690" t="s">
        <v>73</v>
      </c>
      <c r="C690">
        <v>10</v>
      </c>
      <c r="D690" t="s">
        <v>8</v>
      </c>
      <c r="E690">
        <v>133</v>
      </c>
      <c r="F690" t="s">
        <v>74</v>
      </c>
      <c r="G690">
        <v>4.09</v>
      </c>
    </row>
    <row r="691" spans="1:7" hidden="1" outlineLevel="2" x14ac:dyDescent="0.3">
      <c r="A691">
        <v>146</v>
      </c>
      <c r="B691" t="s">
        <v>91</v>
      </c>
      <c r="C691">
        <v>18</v>
      </c>
      <c r="D691" t="s">
        <v>8</v>
      </c>
      <c r="E691">
        <v>133</v>
      </c>
      <c r="F691" t="s">
        <v>74</v>
      </c>
      <c r="G691">
        <v>4.09</v>
      </c>
    </row>
    <row r="692" spans="1:7" hidden="1" outlineLevel="2" x14ac:dyDescent="0.3">
      <c r="A692">
        <v>272</v>
      </c>
      <c r="B692" t="s">
        <v>389</v>
      </c>
      <c r="C692">
        <v>8</v>
      </c>
      <c r="D692" t="s">
        <v>8</v>
      </c>
      <c r="E692">
        <v>133</v>
      </c>
      <c r="F692" t="s">
        <v>74</v>
      </c>
      <c r="G692">
        <v>4.09</v>
      </c>
    </row>
    <row r="693" spans="1:7" hidden="1" outlineLevel="2" x14ac:dyDescent="0.3">
      <c r="A693">
        <v>526</v>
      </c>
      <c r="B693" t="s">
        <v>211</v>
      </c>
      <c r="C693">
        <v>23</v>
      </c>
      <c r="D693" t="s">
        <v>8</v>
      </c>
      <c r="E693">
        <v>133</v>
      </c>
      <c r="F693" t="s">
        <v>74</v>
      </c>
      <c r="G693">
        <v>4.09</v>
      </c>
    </row>
    <row r="694" spans="1:7" hidden="1" outlineLevel="2" x14ac:dyDescent="0.3">
      <c r="A694">
        <v>625</v>
      </c>
      <c r="B694" t="s">
        <v>669</v>
      </c>
      <c r="C694">
        <v>20</v>
      </c>
      <c r="D694" t="s">
        <v>8</v>
      </c>
      <c r="E694">
        <v>133</v>
      </c>
      <c r="F694" t="s">
        <v>74</v>
      </c>
      <c r="G694">
        <v>4.09</v>
      </c>
    </row>
    <row r="695" spans="1:7" outlineLevel="1" collapsed="1" x14ac:dyDescent="0.3">
      <c r="E695" s="1" t="s">
        <v>1481</v>
      </c>
      <c r="F695" t="str">
        <f>F694</f>
        <v>Faith's Scimitar</v>
      </c>
      <c r="G695">
        <f>SUBTOTAL(3,G690:G694)</f>
        <v>5</v>
      </c>
    </row>
    <row r="696" spans="1:7" hidden="1" outlineLevel="2" x14ac:dyDescent="0.3">
      <c r="A696">
        <v>97</v>
      </c>
      <c r="B696" t="s">
        <v>177</v>
      </c>
      <c r="C696">
        <v>20</v>
      </c>
      <c r="D696" t="s">
        <v>8</v>
      </c>
      <c r="E696">
        <v>134</v>
      </c>
      <c r="F696" t="s">
        <v>178</v>
      </c>
      <c r="G696">
        <v>4.5</v>
      </c>
    </row>
    <row r="697" spans="1:7" outlineLevel="1" collapsed="1" x14ac:dyDescent="0.3">
      <c r="E697" s="1" t="s">
        <v>1482</v>
      </c>
      <c r="F697" t="str">
        <f>F696</f>
        <v>Undead Crusader</v>
      </c>
      <c r="G697">
        <f>SUBTOTAL(3,G696:G696)</f>
        <v>1</v>
      </c>
    </row>
    <row r="698" spans="1:7" hidden="1" outlineLevel="2" x14ac:dyDescent="0.3">
      <c r="A698">
        <v>177</v>
      </c>
      <c r="B698" t="s">
        <v>282</v>
      </c>
      <c r="C698">
        <v>30</v>
      </c>
      <c r="D698" t="s">
        <v>39</v>
      </c>
      <c r="E698">
        <v>135</v>
      </c>
      <c r="F698" t="s">
        <v>283</v>
      </c>
      <c r="G698">
        <v>1.4</v>
      </c>
    </row>
    <row r="699" spans="1:7" hidden="1" outlineLevel="2" x14ac:dyDescent="0.3">
      <c r="A699">
        <v>682</v>
      </c>
      <c r="B699" t="s">
        <v>364</v>
      </c>
      <c r="C699">
        <v>24</v>
      </c>
      <c r="D699" t="s">
        <v>8</v>
      </c>
      <c r="E699">
        <v>135</v>
      </c>
      <c r="F699" t="s">
        <v>283</v>
      </c>
      <c r="G699">
        <v>1.4</v>
      </c>
    </row>
    <row r="700" spans="1:7" hidden="1" outlineLevel="2" x14ac:dyDescent="0.3">
      <c r="A700">
        <v>547</v>
      </c>
      <c r="B700" t="s">
        <v>625</v>
      </c>
      <c r="C700">
        <v>18</v>
      </c>
      <c r="D700" t="s">
        <v>8</v>
      </c>
      <c r="E700">
        <v>135</v>
      </c>
      <c r="F700" t="s">
        <v>283</v>
      </c>
      <c r="G700">
        <v>1.4</v>
      </c>
    </row>
    <row r="701" spans="1:7" outlineLevel="1" collapsed="1" x14ac:dyDescent="0.3">
      <c r="E701" s="1" t="s">
        <v>1483</v>
      </c>
      <c r="F701" t="str">
        <f>F700</f>
        <v>Warped Diamond Crusader</v>
      </c>
      <c r="G701">
        <f>SUBTOTAL(3,G698:G700)</f>
        <v>3</v>
      </c>
    </row>
    <row r="702" spans="1:7" hidden="1" outlineLevel="2" x14ac:dyDescent="0.3">
      <c r="A702">
        <v>210</v>
      </c>
      <c r="B702" t="s">
        <v>160</v>
      </c>
      <c r="C702">
        <v>32</v>
      </c>
      <c r="D702" t="s">
        <v>39</v>
      </c>
      <c r="E702">
        <v>136</v>
      </c>
      <c r="F702" t="s">
        <v>28</v>
      </c>
      <c r="G702">
        <v>3.58</v>
      </c>
    </row>
    <row r="703" spans="1:7" hidden="1" outlineLevel="2" x14ac:dyDescent="0.3">
      <c r="A703">
        <v>772</v>
      </c>
      <c r="B703" t="s">
        <v>503</v>
      </c>
      <c r="C703">
        <v>26</v>
      </c>
      <c r="D703" t="s">
        <v>8</v>
      </c>
      <c r="E703">
        <v>136</v>
      </c>
      <c r="F703" t="s">
        <v>28</v>
      </c>
      <c r="G703">
        <v>3.58</v>
      </c>
    </row>
    <row r="704" spans="1:7" hidden="1" outlineLevel="2" x14ac:dyDescent="0.3">
      <c r="A704">
        <v>300</v>
      </c>
      <c r="B704" t="s">
        <v>418</v>
      </c>
      <c r="C704">
        <v>22</v>
      </c>
      <c r="D704" t="s">
        <v>8</v>
      </c>
      <c r="E704">
        <v>136</v>
      </c>
      <c r="F704" t="s">
        <v>28</v>
      </c>
      <c r="G704">
        <v>3.58</v>
      </c>
    </row>
    <row r="705" spans="1:7" hidden="1" outlineLevel="2" x14ac:dyDescent="0.3">
      <c r="A705">
        <v>138</v>
      </c>
      <c r="B705" t="s">
        <v>234</v>
      </c>
      <c r="C705">
        <v>33</v>
      </c>
      <c r="D705" t="s">
        <v>8</v>
      </c>
      <c r="E705">
        <v>136</v>
      </c>
      <c r="F705" t="s">
        <v>28</v>
      </c>
      <c r="G705">
        <v>3.58</v>
      </c>
    </row>
    <row r="706" spans="1:7" hidden="1" outlineLevel="2" x14ac:dyDescent="0.3">
      <c r="A706">
        <v>216</v>
      </c>
      <c r="B706" t="s">
        <v>331</v>
      </c>
      <c r="C706">
        <v>21</v>
      </c>
      <c r="D706" t="s">
        <v>8</v>
      </c>
      <c r="E706">
        <v>136</v>
      </c>
      <c r="F706" t="s">
        <v>28</v>
      </c>
      <c r="G706">
        <v>3.58</v>
      </c>
    </row>
    <row r="707" spans="1:7" hidden="1" outlineLevel="2" x14ac:dyDescent="0.3">
      <c r="A707">
        <v>9</v>
      </c>
      <c r="B707" t="s">
        <v>26</v>
      </c>
      <c r="C707">
        <v>35</v>
      </c>
      <c r="D707" t="s">
        <v>27</v>
      </c>
      <c r="E707">
        <v>136</v>
      </c>
      <c r="F707" t="s">
        <v>28</v>
      </c>
      <c r="G707">
        <v>3.58</v>
      </c>
    </row>
    <row r="708" spans="1:7" outlineLevel="1" collapsed="1" x14ac:dyDescent="0.3">
      <c r="E708" s="1" t="s">
        <v>1484</v>
      </c>
      <c r="F708" t="str">
        <f>F707</f>
        <v>Ghastly Adamantite Protector</v>
      </c>
      <c r="G708">
        <f>SUBTOTAL(3,G702:G707)</f>
        <v>6</v>
      </c>
    </row>
    <row r="709" spans="1:7" hidden="1" outlineLevel="2" x14ac:dyDescent="0.3">
      <c r="A709">
        <v>369</v>
      </c>
      <c r="B709" t="s">
        <v>472</v>
      </c>
      <c r="C709">
        <v>23</v>
      </c>
      <c r="D709" t="s">
        <v>39</v>
      </c>
      <c r="E709">
        <v>137</v>
      </c>
      <c r="F709" t="s">
        <v>330</v>
      </c>
      <c r="G709">
        <v>3.39</v>
      </c>
    </row>
    <row r="710" spans="1:7" hidden="1" outlineLevel="2" x14ac:dyDescent="0.3">
      <c r="A710">
        <v>631</v>
      </c>
      <c r="B710" t="s">
        <v>673</v>
      </c>
      <c r="C710">
        <v>27</v>
      </c>
      <c r="D710" t="s">
        <v>8</v>
      </c>
      <c r="E710">
        <v>137</v>
      </c>
      <c r="F710" t="s">
        <v>330</v>
      </c>
      <c r="G710">
        <v>3.39</v>
      </c>
    </row>
    <row r="711" spans="1:7" hidden="1" outlineLevel="2" x14ac:dyDescent="0.3">
      <c r="A711">
        <v>214</v>
      </c>
      <c r="B711" t="s">
        <v>329</v>
      </c>
      <c r="C711">
        <v>23</v>
      </c>
      <c r="D711" t="s">
        <v>8</v>
      </c>
      <c r="E711">
        <v>137</v>
      </c>
      <c r="F711" t="s">
        <v>330</v>
      </c>
      <c r="G711">
        <v>3.39</v>
      </c>
    </row>
    <row r="712" spans="1:7" hidden="1" outlineLevel="2" x14ac:dyDescent="0.3">
      <c r="A712">
        <v>248</v>
      </c>
      <c r="B712" t="s">
        <v>366</v>
      </c>
      <c r="C712">
        <v>44</v>
      </c>
      <c r="D712" t="s">
        <v>8</v>
      </c>
      <c r="E712">
        <v>137</v>
      </c>
      <c r="F712" t="s">
        <v>330</v>
      </c>
      <c r="G712">
        <v>3.39</v>
      </c>
    </row>
    <row r="713" spans="1:7" hidden="1" outlineLevel="2" x14ac:dyDescent="0.3">
      <c r="A713">
        <v>575</v>
      </c>
      <c r="B713" t="s">
        <v>624</v>
      </c>
      <c r="C713">
        <v>9</v>
      </c>
      <c r="D713" t="s">
        <v>8</v>
      </c>
      <c r="E713">
        <v>137</v>
      </c>
      <c r="F713" t="s">
        <v>330</v>
      </c>
      <c r="G713">
        <v>3.39</v>
      </c>
    </row>
    <row r="714" spans="1:7" outlineLevel="1" collapsed="1" x14ac:dyDescent="0.3">
      <c r="E714" s="1" t="s">
        <v>1485</v>
      </c>
      <c r="F714" t="str">
        <f>F713</f>
        <v>Aetherius, Boon of the Blessed</v>
      </c>
      <c r="G714">
        <f>SUBTOTAL(3,G709:G713)</f>
        <v>5</v>
      </c>
    </row>
    <row r="715" spans="1:7" hidden="1" outlineLevel="2" x14ac:dyDescent="0.3">
      <c r="A715">
        <v>199</v>
      </c>
      <c r="B715" t="s">
        <v>313</v>
      </c>
      <c r="C715">
        <v>15</v>
      </c>
      <c r="D715" t="s">
        <v>39</v>
      </c>
      <c r="E715">
        <v>138</v>
      </c>
      <c r="F715" t="s">
        <v>103</v>
      </c>
      <c r="G715">
        <v>4.74</v>
      </c>
    </row>
    <row r="716" spans="1:7" hidden="1" outlineLevel="2" x14ac:dyDescent="0.3">
      <c r="A716">
        <v>48</v>
      </c>
      <c r="B716" t="s">
        <v>102</v>
      </c>
      <c r="C716">
        <v>20</v>
      </c>
      <c r="D716" t="s">
        <v>8</v>
      </c>
      <c r="E716">
        <v>138</v>
      </c>
      <c r="F716" t="s">
        <v>103</v>
      </c>
      <c r="G716">
        <v>4.74</v>
      </c>
    </row>
    <row r="717" spans="1:7" hidden="1" outlineLevel="2" x14ac:dyDescent="0.3">
      <c r="A717">
        <v>367</v>
      </c>
      <c r="B717" t="s">
        <v>357</v>
      </c>
      <c r="C717">
        <v>30</v>
      </c>
      <c r="D717" t="s">
        <v>8</v>
      </c>
      <c r="E717">
        <v>138</v>
      </c>
      <c r="F717" t="s">
        <v>103</v>
      </c>
      <c r="G717">
        <v>4.74</v>
      </c>
    </row>
    <row r="718" spans="1:7" hidden="1" outlineLevel="2" x14ac:dyDescent="0.3">
      <c r="A718">
        <v>67</v>
      </c>
      <c r="B718" t="s">
        <v>7</v>
      </c>
      <c r="C718">
        <v>20</v>
      </c>
      <c r="D718" t="s">
        <v>8</v>
      </c>
      <c r="E718">
        <v>138</v>
      </c>
      <c r="F718" t="s">
        <v>103</v>
      </c>
      <c r="G718">
        <v>4.74</v>
      </c>
    </row>
    <row r="719" spans="1:7" hidden="1" outlineLevel="2" x14ac:dyDescent="0.3">
      <c r="A719">
        <v>356</v>
      </c>
      <c r="B719" t="s">
        <v>471</v>
      </c>
      <c r="C719">
        <v>20</v>
      </c>
      <c r="D719" t="s">
        <v>8</v>
      </c>
      <c r="E719">
        <v>138</v>
      </c>
      <c r="F719" t="s">
        <v>103</v>
      </c>
      <c r="G719">
        <v>4.74</v>
      </c>
    </row>
    <row r="720" spans="1:7" outlineLevel="1" collapsed="1" x14ac:dyDescent="0.3">
      <c r="E720" s="1" t="s">
        <v>1486</v>
      </c>
      <c r="F720" t="str">
        <f>F719</f>
        <v>Peacekeeper, Wit of Dark Magic</v>
      </c>
      <c r="G720">
        <f>SUBTOTAL(3,G715:G719)</f>
        <v>5</v>
      </c>
    </row>
    <row r="721" spans="1:7" hidden="1" outlineLevel="2" x14ac:dyDescent="0.3">
      <c r="A721">
        <v>493</v>
      </c>
      <c r="B721" t="s">
        <v>587</v>
      </c>
      <c r="C721">
        <v>14</v>
      </c>
      <c r="D721" t="s">
        <v>8</v>
      </c>
      <c r="E721">
        <v>139</v>
      </c>
      <c r="F721" t="s">
        <v>196</v>
      </c>
      <c r="G721">
        <v>4.9400000000000004</v>
      </c>
    </row>
    <row r="722" spans="1:7" hidden="1" outlineLevel="2" x14ac:dyDescent="0.3">
      <c r="A722">
        <v>116</v>
      </c>
      <c r="B722" t="s">
        <v>205</v>
      </c>
      <c r="C722">
        <v>21</v>
      </c>
      <c r="D722" t="s">
        <v>8</v>
      </c>
      <c r="E722">
        <v>139</v>
      </c>
      <c r="F722" t="s">
        <v>196</v>
      </c>
      <c r="G722">
        <v>4.9400000000000004</v>
      </c>
    </row>
    <row r="723" spans="1:7" hidden="1" outlineLevel="2" x14ac:dyDescent="0.3">
      <c r="A723">
        <v>246</v>
      </c>
      <c r="B723" t="s">
        <v>365</v>
      </c>
      <c r="C723">
        <v>24</v>
      </c>
      <c r="D723" t="s">
        <v>8</v>
      </c>
      <c r="E723">
        <v>139</v>
      </c>
      <c r="F723" t="s">
        <v>196</v>
      </c>
      <c r="G723">
        <v>4.9400000000000004</v>
      </c>
    </row>
    <row r="724" spans="1:7" hidden="1" outlineLevel="2" x14ac:dyDescent="0.3">
      <c r="A724">
        <v>110</v>
      </c>
      <c r="B724" t="s">
        <v>195</v>
      </c>
      <c r="C724">
        <v>25</v>
      </c>
      <c r="D724" t="s">
        <v>8</v>
      </c>
      <c r="E724">
        <v>139</v>
      </c>
      <c r="F724" t="s">
        <v>196</v>
      </c>
      <c r="G724">
        <v>4.9400000000000004</v>
      </c>
    </row>
    <row r="725" spans="1:7" hidden="1" outlineLevel="2" x14ac:dyDescent="0.3">
      <c r="A725">
        <v>231</v>
      </c>
      <c r="B725" t="s">
        <v>345</v>
      </c>
      <c r="C725">
        <v>26</v>
      </c>
      <c r="D725" t="s">
        <v>8</v>
      </c>
      <c r="E725">
        <v>139</v>
      </c>
      <c r="F725" t="s">
        <v>196</v>
      </c>
      <c r="G725">
        <v>4.9400000000000004</v>
      </c>
    </row>
    <row r="726" spans="1:7" outlineLevel="1" collapsed="1" x14ac:dyDescent="0.3">
      <c r="E726" s="1" t="s">
        <v>1487</v>
      </c>
      <c r="F726" t="str">
        <f>F725</f>
        <v>Mercy, Katana of Dismay</v>
      </c>
      <c r="G726">
        <f>SUBTOTAL(3,G721:G725)</f>
        <v>5</v>
      </c>
    </row>
    <row r="727" spans="1:7" hidden="1" outlineLevel="2" x14ac:dyDescent="0.3">
      <c r="A727">
        <v>519</v>
      </c>
      <c r="B727" t="s">
        <v>528</v>
      </c>
      <c r="C727">
        <v>24</v>
      </c>
      <c r="D727" t="s">
        <v>39</v>
      </c>
      <c r="E727">
        <v>140</v>
      </c>
      <c r="F727" t="s">
        <v>70</v>
      </c>
      <c r="G727">
        <v>2.94</v>
      </c>
    </row>
    <row r="728" spans="1:7" hidden="1" outlineLevel="2" x14ac:dyDescent="0.3">
      <c r="A728">
        <v>113</v>
      </c>
      <c r="B728" t="s">
        <v>200</v>
      </c>
      <c r="C728">
        <v>15</v>
      </c>
      <c r="D728" t="s">
        <v>39</v>
      </c>
      <c r="E728">
        <v>140</v>
      </c>
      <c r="F728" t="s">
        <v>70</v>
      </c>
      <c r="G728">
        <v>2.94</v>
      </c>
    </row>
    <row r="729" spans="1:7" hidden="1" outlineLevel="2" x14ac:dyDescent="0.3">
      <c r="A729">
        <v>30</v>
      </c>
      <c r="B729" t="s">
        <v>69</v>
      </c>
      <c r="C729">
        <v>19</v>
      </c>
      <c r="D729" t="s">
        <v>8</v>
      </c>
      <c r="E729">
        <v>140</v>
      </c>
      <c r="F729" t="s">
        <v>70</v>
      </c>
      <c r="G729">
        <v>2.94</v>
      </c>
    </row>
    <row r="730" spans="1:7" hidden="1" outlineLevel="2" x14ac:dyDescent="0.3">
      <c r="A730">
        <v>659</v>
      </c>
      <c r="B730" t="s">
        <v>692</v>
      </c>
      <c r="C730">
        <v>36</v>
      </c>
      <c r="D730" t="s">
        <v>8</v>
      </c>
      <c r="E730">
        <v>140</v>
      </c>
      <c r="F730" t="s">
        <v>70</v>
      </c>
      <c r="G730">
        <v>2.94</v>
      </c>
    </row>
    <row r="731" spans="1:7" hidden="1" outlineLevel="2" x14ac:dyDescent="0.3">
      <c r="A731">
        <v>355</v>
      </c>
      <c r="B731" t="s">
        <v>470</v>
      </c>
      <c r="C731">
        <v>15</v>
      </c>
      <c r="D731" t="s">
        <v>8</v>
      </c>
      <c r="E731">
        <v>140</v>
      </c>
      <c r="F731" t="s">
        <v>70</v>
      </c>
      <c r="G731">
        <v>2.94</v>
      </c>
    </row>
    <row r="732" spans="1:7" outlineLevel="1" collapsed="1" x14ac:dyDescent="0.3">
      <c r="E732" s="1" t="s">
        <v>1488</v>
      </c>
      <c r="F732" t="str">
        <f>F731</f>
        <v>Striker</v>
      </c>
      <c r="G732">
        <f>SUBTOTAL(3,G727:G731)</f>
        <v>5</v>
      </c>
    </row>
    <row r="733" spans="1:7" hidden="1" outlineLevel="2" x14ac:dyDescent="0.3">
      <c r="A733">
        <v>587</v>
      </c>
      <c r="B733" t="s">
        <v>650</v>
      </c>
      <c r="C733">
        <v>22</v>
      </c>
      <c r="D733" t="s">
        <v>8</v>
      </c>
      <c r="E733">
        <v>141</v>
      </c>
      <c r="F733" t="s">
        <v>58</v>
      </c>
      <c r="G733">
        <v>3.19</v>
      </c>
    </row>
    <row r="734" spans="1:7" hidden="1" outlineLevel="2" x14ac:dyDescent="0.3">
      <c r="A734">
        <v>98</v>
      </c>
      <c r="B734" t="s">
        <v>179</v>
      </c>
      <c r="C734">
        <v>23</v>
      </c>
      <c r="D734" t="s">
        <v>8</v>
      </c>
      <c r="E734">
        <v>141</v>
      </c>
      <c r="F734" t="s">
        <v>58</v>
      </c>
      <c r="G734">
        <v>3.19</v>
      </c>
    </row>
    <row r="735" spans="1:7" hidden="1" outlineLevel="2" x14ac:dyDescent="0.3">
      <c r="A735">
        <v>538</v>
      </c>
      <c r="B735" t="s">
        <v>618</v>
      </c>
      <c r="C735">
        <v>25</v>
      </c>
      <c r="D735" t="s">
        <v>8</v>
      </c>
      <c r="E735">
        <v>141</v>
      </c>
      <c r="F735" t="s">
        <v>58</v>
      </c>
      <c r="G735">
        <v>3.19</v>
      </c>
    </row>
    <row r="736" spans="1:7" hidden="1" outlineLevel="2" x14ac:dyDescent="0.3">
      <c r="A736">
        <v>590</v>
      </c>
      <c r="B736" t="s">
        <v>652</v>
      </c>
      <c r="C736">
        <v>20</v>
      </c>
      <c r="D736" t="s">
        <v>8</v>
      </c>
      <c r="E736">
        <v>141</v>
      </c>
      <c r="F736" t="s">
        <v>58</v>
      </c>
      <c r="G736">
        <v>3.19</v>
      </c>
    </row>
    <row r="737" spans="1:7" hidden="1" outlineLevel="2" x14ac:dyDescent="0.3">
      <c r="A737">
        <v>603</v>
      </c>
      <c r="B737" t="s">
        <v>144</v>
      </c>
      <c r="C737">
        <v>25</v>
      </c>
      <c r="D737" t="s">
        <v>8</v>
      </c>
      <c r="E737">
        <v>141</v>
      </c>
      <c r="F737" t="s">
        <v>58</v>
      </c>
      <c r="G737">
        <v>3.19</v>
      </c>
    </row>
    <row r="738" spans="1:7" hidden="1" outlineLevel="2" x14ac:dyDescent="0.3">
      <c r="A738">
        <v>24</v>
      </c>
      <c r="B738" t="s">
        <v>57</v>
      </c>
      <c r="C738">
        <v>30</v>
      </c>
      <c r="D738" t="s">
        <v>8</v>
      </c>
      <c r="E738">
        <v>141</v>
      </c>
      <c r="F738" t="s">
        <v>58</v>
      </c>
      <c r="G738">
        <v>3.19</v>
      </c>
    </row>
    <row r="739" spans="1:7" hidden="1" outlineLevel="2" x14ac:dyDescent="0.3">
      <c r="A739">
        <v>261</v>
      </c>
      <c r="B739" t="s">
        <v>94</v>
      </c>
      <c r="C739">
        <v>24</v>
      </c>
      <c r="D739" t="s">
        <v>8</v>
      </c>
      <c r="E739">
        <v>141</v>
      </c>
      <c r="F739" t="s">
        <v>58</v>
      </c>
      <c r="G739">
        <v>3.19</v>
      </c>
    </row>
    <row r="740" spans="1:7" outlineLevel="1" collapsed="1" x14ac:dyDescent="0.3">
      <c r="E740" s="1" t="s">
        <v>1489</v>
      </c>
      <c r="F740" t="str">
        <f>F739</f>
        <v>Persuasion</v>
      </c>
      <c r="G740">
        <f>SUBTOTAL(3,G733:G739)</f>
        <v>7</v>
      </c>
    </row>
    <row r="741" spans="1:7" hidden="1" outlineLevel="2" x14ac:dyDescent="0.3">
      <c r="A741">
        <v>563</v>
      </c>
      <c r="B741" t="s">
        <v>634</v>
      </c>
      <c r="C741">
        <v>38</v>
      </c>
      <c r="D741" t="s">
        <v>8</v>
      </c>
      <c r="E741">
        <v>142</v>
      </c>
      <c r="F741" t="s">
        <v>338</v>
      </c>
      <c r="G741">
        <v>2.62</v>
      </c>
    </row>
    <row r="742" spans="1:7" hidden="1" outlineLevel="2" x14ac:dyDescent="0.3">
      <c r="A742">
        <v>529</v>
      </c>
      <c r="B742" t="s">
        <v>612</v>
      </c>
      <c r="C742">
        <v>21</v>
      </c>
      <c r="D742" t="s">
        <v>8</v>
      </c>
      <c r="E742">
        <v>142</v>
      </c>
      <c r="F742" t="s">
        <v>338</v>
      </c>
      <c r="G742">
        <v>2.62</v>
      </c>
    </row>
    <row r="743" spans="1:7" hidden="1" outlineLevel="2" x14ac:dyDescent="0.3">
      <c r="A743">
        <v>223</v>
      </c>
      <c r="B743" t="s">
        <v>201</v>
      </c>
      <c r="C743">
        <v>22</v>
      </c>
      <c r="D743" t="s">
        <v>8</v>
      </c>
      <c r="E743">
        <v>142</v>
      </c>
      <c r="F743" t="s">
        <v>338</v>
      </c>
      <c r="G743">
        <v>2.62</v>
      </c>
    </row>
    <row r="744" spans="1:7" outlineLevel="1" collapsed="1" x14ac:dyDescent="0.3">
      <c r="E744" s="1" t="s">
        <v>1490</v>
      </c>
      <c r="F744" t="str">
        <f>F743</f>
        <v>Righteous Might</v>
      </c>
      <c r="G744">
        <f>SUBTOTAL(3,G741:G743)</f>
        <v>3</v>
      </c>
    </row>
    <row r="745" spans="1:7" hidden="1" outlineLevel="2" x14ac:dyDescent="0.3">
      <c r="A745">
        <v>40</v>
      </c>
      <c r="B745" t="s">
        <v>88</v>
      </c>
      <c r="C745">
        <v>20</v>
      </c>
      <c r="D745" t="s">
        <v>8</v>
      </c>
      <c r="E745">
        <v>143</v>
      </c>
      <c r="F745" t="s">
        <v>11</v>
      </c>
      <c r="G745">
        <v>1.56</v>
      </c>
    </row>
    <row r="746" spans="1:7" hidden="1" outlineLevel="2" x14ac:dyDescent="0.3">
      <c r="A746">
        <v>492</v>
      </c>
      <c r="B746" t="s">
        <v>586</v>
      </c>
      <c r="C746">
        <v>23</v>
      </c>
      <c r="D746" t="s">
        <v>8</v>
      </c>
      <c r="E746">
        <v>143</v>
      </c>
      <c r="F746" t="s">
        <v>11</v>
      </c>
      <c r="G746">
        <v>1.56</v>
      </c>
    </row>
    <row r="747" spans="1:7" hidden="1" outlineLevel="2" x14ac:dyDescent="0.3">
      <c r="A747">
        <v>531</v>
      </c>
      <c r="B747" t="s">
        <v>614</v>
      </c>
      <c r="C747">
        <v>12</v>
      </c>
      <c r="D747" t="s">
        <v>8</v>
      </c>
      <c r="E747">
        <v>143</v>
      </c>
      <c r="F747" t="s">
        <v>11</v>
      </c>
      <c r="G747">
        <v>1.56</v>
      </c>
    </row>
    <row r="748" spans="1:7" hidden="1" outlineLevel="2" x14ac:dyDescent="0.3">
      <c r="A748">
        <v>1</v>
      </c>
      <c r="B748" t="s">
        <v>10</v>
      </c>
      <c r="C748">
        <v>40</v>
      </c>
      <c r="D748" t="s">
        <v>8</v>
      </c>
      <c r="E748">
        <v>143</v>
      </c>
      <c r="F748" t="s">
        <v>11</v>
      </c>
      <c r="G748">
        <v>1.56</v>
      </c>
    </row>
    <row r="749" spans="1:7" hidden="1" outlineLevel="2" x14ac:dyDescent="0.3">
      <c r="A749">
        <v>399</v>
      </c>
      <c r="B749" t="s">
        <v>512</v>
      </c>
      <c r="C749">
        <v>19</v>
      </c>
      <c r="D749" t="s">
        <v>8</v>
      </c>
      <c r="E749">
        <v>143</v>
      </c>
      <c r="F749" t="s">
        <v>11</v>
      </c>
      <c r="G749">
        <v>1.56</v>
      </c>
    </row>
    <row r="750" spans="1:7" hidden="1" outlineLevel="2" x14ac:dyDescent="0.3">
      <c r="A750">
        <v>70</v>
      </c>
      <c r="B750" t="s">
        <v>138</v>
      </c>
      <c r="C750">
        <v>29</v>
      </c>
      <c r="D750" t="s">
        <v>8</v>
      </c>
      <c r="E750">
        <v>143</v>
      </c>
      <c r="F750" t="s">
        <v>11</v>
      </c>
      <c r="G750">
        <v>1.56</v>
      </c>
    </row>
    <row r="751" spans="1:7" outlineLevel="1" collapsed="1" x14ac:dyDescent="0.3">
      <c r="E751" s="1" t="s">
        <v>1491</v>
      </c>
      <c r="F751" t="str">
        <f>F750</f>
        <v>Frenzied Scimitar</v>
      </c>
      <c r="G751">
        <f>SUBTOTAL(3,G745:G750)</f>
        <v>6</v>
      </c>
    </row>
    <row r="752" spans="1:7" hidden="1" outlineLevel="2" x14ac:dyDescent="0.3">
      <c r="A752">
        <v>409</v>
      </c>
      <c r="B752" t="s">
        <v>518</v>
      </c>
      <c r="C752">
        <v>15</v>
      </c>
      <c r="D752" t="s">
        <v>39</v>
      </c>
      <c r="E752">
        <v>144</v>
      </c>
      <c r="F752" t="s">
        <v>278</v>
      </c>
      <c r="G752">
        <v>1.94</v>
      </c>
    </row>
    <row r="753" spans="1:7" hidden="1" outlineLevel="2" x14ac:dyDescent="0.3">
      <c r="A753">
        <v>174</v>
      </c>
      <c r="B753" t="s">
        <v>277</v>
      </c>
      <c r="C753">
        <v>30</v>
      </c>
      <c r="D753" t="s">
        <v>8</v>
      </c>
      <c r="E753">
        <v>144</v>
      </c>
      <c r="F753" t="s">
        <v>278</v>
      </c>
      <c r="G753">
        <v>1.94</v>
      </c>
    </row>
    <row r="754" spans="1:7" hidden="1" outlineLevel="2" x14ac:dyDescent="0.3">
      <c r="A754">
        <v>675</v>
      </c>
      <c r="B754" t="s">
        <v>359</v>
      </c>
      <c r="C754">
        <v>16</v>
      </c>
      <c r="D754" t="s">
        <v>8</v>
      </c>
      <c r="E754">
        <v>144</v>
      </c>
      <c r="F754" t="s">
        <v>278</v>
      </c>
      <c r="G754">
        <v>1.94</v>
      </c>
    </row>
    <row r="755" spans="1:7" hidden="1" outlineLevel="2" x14ac:dyDescent="0.3">
      <c r="A755">
        <v>724</v>
      </c>
      <c r="B755" t="s">
        <v>732</v>
      </c>
      <c r="C755">
        <v>25</v>
      </c>
      <c r="D755" t="s">
        <v>8</v>
      </c>
      <c r="E755">
        <v>144</v>
      </c>
      <c r="F755" t="s">
        <v>278</v>
      </c>
      <c r="G755">
        <v>1.94</v>
      </c>
    </row>
    <row r="756" spans="1:7" hidden="1" outlineLevel="2" x14ac:dyDescent="0.3">
      <c r="A756">
        <v>319</v>
      </c>
      <c r="B756" t="s">
        <v>234</v>
      </c>
      <c r="C756">
        <v>33</v>
      </c>
      <c r="D756" t="s">
        <v>8</v>
      </c>
      <c r="E756">
        <v>144</v>
      </c>
      <c r="F756" t="s">
        <v>278</v>
      </c>
      <c r="G756">
        <v>1.94</v>
      </c>
    </row>
    <row r="757" spans="1:7" hidden="1" outlineLevel="2" x14ac:dyDescent="0.3">
      <c r="A757">
        <v>462</v>
      </c>
      <c r="B757" t="s">
        <v>562</v>
      </c>
      <c r="C757">
        <v>20</v>
      </c>
      <c r="D757" t="s">
        <v>8</v>
      </c>
      <c r="E757">
        <v>144</v>
      </c>
      <c r="F757" t="s">
        <v>278</v>
      </c>
      <c r="G757">
        <v>1.94</v>
      </c>
    </row>
    <row r="758" spans="1:7" outlineLevel="1" collapsed="1" x14ac:dyDescent="0.3">
      <c r="E758" s="1" t="s">
        <v>1492</v>
      </c>
      <c r="F758" t="str">
        <f>F757</f>
        <v>Blood Infused Guardian</v>
      </c>
      <c r="G758">
        <f>SUBTOTAL(3,G752:G757)</f>
        <v>6</v>
      </c>
    </row>
    <row r="759" spans="1:7" hidden="1" outlineLevel="2" x14ac:dyDescent="0.3">
      <c r="A759">
        <v>683</v>
      </c>
      <c r="B759" t="s">
        <v>313</v>
      </c>
      <c r="C759">
        <v>15</v>
      </c>
      <c r="D759" t="s">
        <v>39</v>
      </c>
      <c r="E759">
        <v>145</v>
      </c>
      <c r="F759" t="s">
        <v>227</v>
      </c>
      <c r="G759">
        <v>4.58</v>
      </c>
    </row>
    <row r="760" spans="1:7" hidden="1" outlineLevel="2" x14ac:dyDescent="0.3">
      <c r="A760">
        <v>572</v>
      </c>
      <c r="B760" t="s">
        <v>640</v>
      </c>
      <c r="C760">
        <v>17</v>
      </c>
      <c r="D760" t="s">
        <v>39</v>
      </c>
      <c r="E760">
        <v>145</v>
      </c>
      <c r="F760" t="s">
        <v>227</v>
      </c>
      <c r="G760">
        <v>4.58</v>
      </c>
    </row>
    <row r="761" spans="1:7" hidden="1" outlineLevel="2" x14ac:dyDescent="0.3">
      <c r="A761">
        <v>329</v>
      </c>
      <c r="B761" t="s">
        <v>444</v>
      </c>
      <c r="C761">
        <v>20</v>
      </c>
      <c r="D761" t="s">
        <v>8</v>
      </c>
      <c r="E761">
        <v>145</v>
      </c>
      <c r="F761" t="s">
        <v>227</v>
      </c>
      <c r="G761">
        <v>4.58</v>
      </c>
    </row>
    <row r="762" spans="1:7" hidden="1" outlineLevel="2" x14ac:dyDescent="0.3">
      <c r="A762">
        <v>769</v>
      </c>
      <c r="B762" t="s">
        <v>758</v>
      </c>
      <c r="C762">
        <v>15</v>
      </c>
      <c r="D762" t="s">
        <v>8</v>
      </c>
      <c r="E762">
        <v>145</v>
      </c>
      <c r="F762" t="s">
        <v>227</v>
      </c>
      <c r="G762">
        <v>4.58</v>
      </c>
    </row>
    <row r="763" spans="1:7" hidden="1" outlineLevel="2" x14ac:dyDescent="0.3">
      <c r="A763">
        <v>474</v>
      </c>
      <c r="B763" t="s">
        <v>573</v>
      </c>
      <c r="C763">
        <v>31</v>
      </c>
      <c r="D763" t="s">
        <v>8</v>
      </c>
      <c r="E763">
        <v>145</v>
      </c>
      <c r="F763" t="s">
        <v>227</v>
      </c>
      <c r="G763">
        <v>4.58</v>
      </c>
    </row>
    <row r="764" spans="1:7" hidden="1" outlineLevel="2" x14ac:dyDescent="0.3">
      <c r="A764">
        <v>132</v>
      </c>
      <c r="B764" t="s">
        <v>29</v>
      </c>
      <c r="C764">
        <v>23</v>
      </c>
      <c r="D764" t="s">
        <v>8</v>
      </c>
      <c r="E764">
        <v>145</v>
      </c>
      <c r="F764" t="s">
        <v>227</v>
      </c>
      <c r="G764">
        <v>4.58</v>
      </c>
    </row>
    <row r="765" spans="1:7" hidden="1" outlineLevel="2" x14ac:dyDescent="0.3">
      <c r="A765">
        <v>741</v>
      </c>
      <c r="B765" t="s">
        <v>744</v>
      </c>
      <c r="C765">
        <v>19</v>
      </c>
      <c r="D765" t="s">
        <v>8</v>
      </c>
      <c r="E765">
        <v>145</v>
      </c>
      <c r="F765" t="s">
        <v>227</v>
      </c>
      <c r="G765">
        <v>4.58</v>
      </c>
    </row>
    <row r="766" spans="1:7" hidden="1" outlineLevel="2" x14ac:dyDescent="0.3">
      <c r="A766">
        <v>438</v>
      </c>
      <c r="B766" t="s">
        <v>541</v>
      </c>
      <c r="C766">
        <v>23</v>
      </c>
      <c r="D766" t="s">
        <v>8</v>
      </c>
      <c r="E766">
        <v>145</v>
      </c>
      <c r="F766" t="s">
        <v>227</v>
      </c>
      <c r="G766">
        <v>4.58</v>
      </c>
    </row>
    <row r="767" spans="1:7" hidden="1" outlineLevel="2" x14ac:dyDescent="0.3">
      <c r="A767">
        <v>207</v>
      </c>
      <c r="B767" t="s">
        <v>322</v>
      </c>
      <c r="C767">
        <v>24</v>
      </c>
      <c r="D767" t="s">
        <v>8</v>
      </c>
      <c r="E767">
        <v>145</v>
      </c>
      <c r="F767" t="s">
        <v>227</v>
      </c>
      <c r="G767">
        <v>4.58</v>
      </c>
    </row>
    <row r="768" spans="1:7" outlineLevel="1" collapsed="1" x14ac:dyDescent="0.3">
      <c r="E768" s="1" t="s">
        <v>1493</v>
      </c>
      <c r="F768" t="str">
        <f>F767</f>
        <v>Fiery Glass Crusader</v>
      </c>
      <c r="G768">
        <f>SUBTOTAL(3,G759:G767)</f>
        <v>9</v>
      </c>
    </row>
    <row r="769" spans="1:7" hidden="1" outlineLevel="2" x14ac:dyDescent="0.3">
      <c r="A769">
        <v>135</v>
      </c>
      <c r="B769" t="s">
        <v>230</v>
      </c>
      <c r="C769">
        <v>30</v>
      </c>
      <c r="D769" t="s">
        <v>8</v>
      </c>
      <c r="E769">
        <v>146</v>
      </c>
      <c r="F769" t="s">
        <v>231</v>
      </c>
      <c r="G769">
        <v>3.1</v>
      </c>
    </row>
    <row r="770" spans="1:7" hidden="1" outlineLevel="2" x14ac:dyDescent="0.3">
      <c r="A770">
        <v>534</v>
      </c>
      <c r="B770" t="s">
        <v>616</v>
      </c>
      <c r="C770">
        <v>10</v>
      </c>
      <c r="D770" t="s">
        <v>8</v>
      </c>
      <c r="E770">
        <v>146</v>
      </c>
      <c r="F770" t="s">
        <v>231</v>
      </c>
      <c r="G770">
        <v>3.1</v>
      </c>
    </row>
    <row r="771" spans="1:7" hidden="1" outlineLevel="2" x14ac:dyDescent="0.3">
      <c r="A771">
        <v>596</v>
      </c>
      <c r="B771" t="s">
        <v>214</v>
      </c>
      <c r="C771">
        <v>27</v>
      </c>
      <c r="D771" t="s">
        <v>8</v>
      </c>
      <c r="E771">
        <v>146</v>
      </c>
      <c r="F771" t="s">
        <v>231</v>
      </c>
      <c r="G771">
        <v>3.1</v>
      </c>
    </row>
    <row r="772" spans="1:7" hidden="1" outlineLevel="2" x14ac:dyDescent="0.3">
      <c r="A772">
        <v>549</v>
      </c>
      <c r="B772" t="s">
        <v>626</v>
      </c>
      <c r="C772">
        <v>25</v>
      </c>
      <c r="D772" t="s">
        <v>27</v>
      </c>
      <c r="E772">
        <v>146</v>
      </c>
      <c r="F772" t="s">
        <v>231</v>
      </c>
      <c r="G772">
        <v>3.1</v>
      </c>
    </row>
    <row r="773" spans="1:7" hidden="1" outlineLevel="2" x14ac:dyDescent="0.3">
      <c r="A773">
        <v>747</v>
      </c>
      <c r="B773" t="s">
        <v>53</v>
      </c>
      <c r="C773">
        <v>38</v>
      </c>
      <c r="D773" t="s">
        <v>27</v>
      </c>
      <c r="E773">
        <v>146</v>
      </c>
      <c r="F773" t="s">
        <v>231</v>
      </c>
      <c r="G773">
        <v>3.1</v>
      </c>
    </row>
    <row r="774" spans="1:7" outlineLevel="1" collapsed="1" x14ac:dyDescent="0.3">
      <c r="E774" s="1" t="s">
        <v>1494</v>
      </c>
      <c r="F774" t="str">
        <f>F773</f>
        <v>Warped Iron Scimitar</v>
      </c>
      <c r="G774">
        <f>SUBTOTAL(3,G769:G773)</f>
        <v>5</v>
      </c>
    </row>
    <row r="775" spans="1:7" hidden="1" outlineLevel="2" x14ac:dyDescent="0.3">
      <c r="A775">
        <v>686</v>
      </c>
      <c r="B775" t="s">
        <v>709</v>
      </c>
      <c r="C775">
        <v>8</v>
      </c>
      <c r="D775" t="s">
        <v>8</v>
      </c>
      <c r="E775">
        <v>147</v>
      </c>
      <c r="F775" t="s">
        <v>410</v>
      </c>
      <c r="G775">
        <v>4.93</v>
      </c>
    </row>
    <row r="776" spans="1:7" hidden="1" outlineLevel="2" x14ac:dyDescent="0.3">
      <c r="A776">
        <v>290</v>
      </c>
      <c r="B776" t="s">
        <v>409</v>
      </c>
      <c r="C776">
        <v>24</v>
      </c>
      <c r="D776" t="s">
        <v>8</v>
      </c>
      <c r="E776">
        <v>147</v>
      </c>
      <c r="F776" t="s">
        <v>410</v>
      </c>
      <c r="G776">
        <v>4.93</v>
      </c>
    </row>
    <row r="777" spans="1:7" hidden="1" outlineLevel="2" x14ac:dyDescent="0.3">
      <c r="A777">
        <v>312</v>
      </c>
      <c r="B777" t="s">
        <v>430</v>
      </c>
      <c r="C777">
        <v>20</v>
      </c>
      <c r="D777" t="s">
        <v>8</v>
      </c>
      <c r="E777">
        <v>147</v>
      </c>
      <c r="F777" t="s">
        <v>410</v>
      </c>
      <c r="G777">
        <v>4.93</v>
      </c>
    </row>
    <row r="778" spans="1:7" outlineLevel="1" collapsed="1" x14ac:dyDescent="0.3">
      <c r="E778" s="1" t="s">
        <v>1495</v>
      </c>
      <c r="F778" t="str">
        <f>F777</f>
        <v>Hellreaver, Heirloom of Inception</v>
      </c>
      <c r="G778">
        <f>SUBTOTAL(3,G775:G777)</f>
        <v>3</v>
      </c>
    </row>
    <row r="779" spans="1:7" hidden="1" outlineLevel="2" x14ac:dyDescent="0.3">
      <c r="A779">
        <v>490</v>
      </c>
      <c r="B779" t="s">
        <v>409</v>
      </c>
      <c r="C779">
        <v>24</v>
      </c>
      <c r="D779" t="s">
        <v>8</v>
      </c>
      <c r="E779">
        <v>148</v>
      </c>
      <c r="F779" t="s">
        <v>246</v>
      </c>
      <c r="G779">
        <v>4.03</v>
      </c>
    </row>
    <row r="780" spans="1:7" hidden="1" outlineLevel="2" x14ac:dyDescent="0.3">
      <c r="A780">
        <v>148</v>
      </c>
      <c r="B780" t="s">
        <v>245</v>
      </c>
      <c r="C780">
        <v>20</v>
      </c>
      <c r="D780" t="s">
        <v>8</v>
      </c>
      <c r="E780">
        <v>148</v>
      </c>
      <c r="F780" t="s">
        <v>246</v>
      </c>
      <c r="G780">
        <v>4.03</v>
      </c>
    </row>
    <row r="781" spans="1:7" hidden="1" outlineLevel="2" x14ac:dyDescent="0.3">
      <c r="A781">
        <v>469</v>
      </c>
      <c r="B781" t="s">
        <v>569</v>
      </c>
      <c r="C781">
        <v>24</v>
      </c>
      <c r="D781" t="s">
        <v>8</v>
      </c>
      <c r="E781">
        <v>148</v>
      </c>
      <c r="F781" t="s">
        <v>246</v>
      </c>
      <c r="G781">
        <v>4.03</v>
      </c>
    </row>
    <row r="782" spans="1:7" outlineLevel="1" collapsed="1" x14ac:dyDescent="0.3">
      <c r="E782" s="1" t="s">
        <v>1496</v>
      </c>
      <c r="F782" t="str">
        <f>F781</f>
        <v>Warmonger, Gift of Suffering's End</v>
      </c>
      <c r="G782">
        <f>SUBTOTAL(3,G779:G781)</f>
        <v>3</v>
      </c>
    </row>
    <row r="783" spans="1:7" hidden="1" outlineLevel="2" x14ac:dyDescent="0.3">
      <c r="A783">
        <v>258</v>
      </c>
      <c r="B783" t="s">
        <v>376</v>
      </c>
      <c r="C783">
        <v>26</v>
      </c>
      <c r="D783" t="s">
        <v>8</v>
      </c>
      <c r="E783">
        <v>149</v>
      </c>
      <c r="F783" t="s">
        <v>320</v>
      </c>
      <c r="G783">
        <v>1.75</v>
      </c>
    </row>
    <row r="784" spans="1:7" hidden="1" outlineLevel="2" x14ac:dyDescent="0.3">
      <c r="A784">
        <v>443</v>
      </c>
      <c r="B784" t="s">
        <v>545</v>
      </c>
      <c r="C784">
        <v>26</v>
      </c>
      <c r="D784" t="s">
        <v>8</v>
      </c>
      <c r="E784">
        <v>149</v>
      </c>
      <c r="F784" t="s">
        <v>320</v>
      </c>
      <c r="G784">
        <v>1.75</v>
      </c>
    </row>
    <row r="785" spans="1:7" hidden="1" outlineLevel="2" x14ac:dyDescent="0.3">
      <c r="A785">
        <v>424</v>
      </c>
      <c r="B785" t="s">
        <v>530</v>
      </c>
      <c r="C785">
        <v>10</v>
      </c>
      <c r="D785" t="s">
        <v>8</v>
      </c>
      <c r="E785">
        <v>149</v>
      </c>
      <c r="F785" t="s">
        <v>320</v>
      </c>
      <c r="G785">
        <v>1.75</v>
      </c>
    </row>
    <row r="786" spans="1:7" hidden="1" outlineLevel="2" x14ac:dyDescent="0.3">
      <c r="A786">
        <v>205</v>
      </c>
      <c r="B786" t="s">
        <v>125</v>
      </c>
      <c r="C786">
        <v>17</v>
      </c>
      <c r="D786" t="s">
        <v>8</v>
      </c>
      <c r="E786">
        <v>149</v>
      </c>
      <c r="F786" t="s">
        <v>320</v>
      </c>
      <c r="G786">
        <v>1.75</v>
      </c>
    </row>
    <row r="787" spans="1:7" hidden="1" outlineLevel="2" x14ac:dyDescent="0.3">
      <c r="A787">
        <v>737</v>
      </c>
      <c r="B787" t="s">
        <v>741</v>
      </c>
      <c r="C787">
        <v>22</v>
      </c>
      <c r="D787" t="s">
        <v>8</v>
      </c>
      <c r="E787">
        <v>149</v>
      </c>
      <c r="F787" t="s">
        <v>320</v>
      </c>
      <c r="G787">
        <v>1.75</v>
      </c>
    </row>
    <row r="788" spans="1:7" outlineLevel="1" collapsed="1" x14ac:dyDescent="0.3">
      <c r="E788" s="1" t="s">
        <v>1497</v>
      </c>
      <c r="F788" t="str">
        <f>F787</f>
        <v>Tranquility, Razor of Black Magic</v>
      </c>
      <c r="G788">
        <f>SUBTOTAL(3,G783:G787)</f>
        <v>5</v>
      </c>
    </row>
    <row r="789" spans="1:7" hidden="1" outlineLevel="2" x14ac:dyDescent="0.3">
      <c r="A789">
        <v>445</v>
      </c>
      <c r="B789" t="s">
        <v>115</v>
      </c>
      <c r="C789">
        <v>25</v>
      </c>
      <c r="D789" t="s">
        <v>39</v>
      </c>
      <c r="E789">
        <v>150</v>
      </c>
      <c r="F789" t="s">
        <v>202</v>
      </c>
      <c r="G789">
        <v>2.85</v>
      </c>
    </row>
    <row r="790" spans="1:7" hidden="1" outlineLevel="2" x14ac:dyDescent="0.3">
      <c r="A790">
        <v>124</v>
      </c>
      <c r="B790" t="s">
        <v>215</v>
      </c>
      <c r="C790">
        <v>21</v>
      </c>
      <c r="D790" t="s">
        <v>8</v>
      </c>
      <c r="E790">
        <v>150</v>
      </c>
      <c r="F790" t="s">
        <v>202</v>
      </c>
      <c r="G790">
        <v>2.85</v>
      </c>
    </row>
    <row r="791" spans="1:7" hidden="1" outlineLevel="2" x14ac:dyDescent="0.3">
      <c r="A791">
        <v>648</v>
      </c>
      <c r="B791" t="s">
        <v>686</v>
      </c>
      <c r="C791">
        <v>39</v>
      </c>
      <c r="D791" t="s">
        <v>8</v>
      </c>
      <c r="E791">
        <v>150</v>
      </c>
      <c r="F791" t="s">
        <v>202</v>
      </c>
      <c r="G791">
        <v>2.85</v>
      </c>
    </row>
    <row r="792" spans="1:7" hidden="1" outlineLevel="2" x14ac:dyDescent="0.3">
      <c r="A792">
        <v>185</v>
      </c>
      <c r="B792" t="s">
        <v>294</v>
      </c>
      <c r="C792">
        <v>20</v>
      </c>
      <c r="D792" t="s">
        <v>8</v>
      </c>
      <c r="E792">
        <v>150</v>
      </c>
      <c r="F792" t="s">
        <v>202</v>
      </c>
      <c r="G792">
        <v>2.85</v>
      </c>
    </row>
    <row r="793" spans="1:7" hidden="1" outlineLevel="2" x14ac:dyDescent="0.3">
      <c r="A793">
        <v>114</v>
      </c>
      <c r="B793" t="s">
        <v>201</v>
      </c>
      <c r="C793">
        <v>22</v>
      </c>
      <c r="D793" t="s">
        <v>8</v>
      </c>
      <c r="E793">
        <v>150</v>
      </c>
      <c r="F793" t="s">
        <v>202</v>
      </c>
      <c r="G793">
        <v>2.85</v>
      </c>
    </row>
    <row r="794" spans="1:7" outlineLevel="1" collapsed="1" x14ac:dyDescent="0.3">
      <c r="E794" s="1" t="s">
        <v>1498</v>
      </c>
      <c r="F794" t="str">
        <f>F793</f>
        <v>Deathraze</v>
      </c>
      <c r="G794">
        <f>SUBTOTAL(3,G789:G793)</f>
        <v>5</v>
      </c>
    </row>
    <row r="795" spans="1:7" hidden="1" outlineLevel="2" x14ac:dyDescent="0.3">
      <c r="A795">
        <v>87</v>
      </c>
      <c r="B795" t="s">
        <v>109</v>
      </c>
      <c r="C795">
        <v>20</v>
      </c>
      <c r="D795" t="s">
        <v>8</v>
      </c>
      <c r="E795">
        <v>151</v>
      </c>
      <c r="F795" t="s">
        <v>56</v>
      </c>
      <c r="G795">
        <v>3.4</v>
      </c>
    </row>
    <row r="796" spans="1:7" hidden="1" outlineLevel="2" x14ac:dyDescent="0.3">
      <c r="A796">
        <v>501</v>
      </c>
      <c r="B796" t="s">
        <v>594</v>
      </c>
      <c r="C796">
        <v>32</v>
      </c>
      <c r="D796" t="s">
        <v>8</v>
      </c>
      <c r="E796">
        <v>151</v>
      </c>
      <c r="F796" t="s">
        <v>56</v>
      </c>
      <c r="G796">
        <v>3.4</v>
      </c>
    </row>
    <row r="797" spans="1:7" hidden="1" outlineLevel="2" x14ac:dyDescent="0.3">
      <c r="A797">
        <v>23</v>
      </c>
      <c r="B797" t="s">
        <v>55</v>
      </c>
      <c r="C797">
        <v>40</v>
      </c>
      <c r="D797" t="s">
        <v>8</v>
      </c>
      <c r="E797">
        <v>151</v>
      </c>
      <c r="F797" t="s">
        <v>56</v>
      </c>
      <c r="G797">
        <v>3.4</v>
      </c>
    </row>
    <row r="798" spans="1:7" outlineLevel="1" collapsed="1" x14ac:dyDescent="0.3">
      <c r="E798" s="1" t="s">
        <v>1499</v>
      </c>
      <c r="F798" t="str">
        <f>F797</f>
        <v>Severance</v>
      </c>
      <c r="G798">
        <f>SUBTOTAL(3,G795:G797)</f>
        <v>3</v>
      </c>
    </row>
    <row r="799" spans="1:7" hidden="1" outlineLevel="2" x14ac:dyDescent="0.3">
      <c r="A799">
        <v>671</v>
      </c>
      <c r="B799" t="s">
        <v>273</v>
      </c>
      <c r="C799">
        <v>30</v>
      </c>
      <c r="D799" t="s">
        <v>8</v>
      </c>
      <c r="E799">
        <v>152</v>
      </c>
      <c r="F799" t="s">
        <v>121</v>
      </c>
      <c r="G799">
        <v>1.74</v>
      </c>
    </row>
    <row r="800" spans="1:7" hidden="1" outlineLevel="2" x14ac:dyDescent="0.3">
      <c r="A800">
        <v>395</v>
      </c>
      <c r="B800" t="s">
        <v>508</v>
      </c>
      <c r="C800">
        <v>17</v>
      </c>
      <c r="D800" t="s">
        <v>8</v>
      </c>
      <c r="E800">
        <v>152</v>
      </c>
      <c r="F800" t="s">
        <v>121</v>
      </c>
      <c r="G800">
        <v>1.74</v>
      </c>
    </row>
    <row r="801" spans="1:7" hidden="1" outlineLevel="2" x14ac:dyDescent="0.3">
      <c r="A801">
        <v>328</v>
      </c>
      <c r="B801" t="s">
        <v>443</v>
      </c>
      <c r="C801">
        <v>17</v>
      </c>
      <c r="D801" t="s">
        <v>8</v>
      </c>
      <c r="E801">
        <v>152</v>
      </c>
      <c r="F801" t="s">
        <v>121</v>
      </c>
      <c r="G801">
        <v>1.74</v>
      </c>
    </row>
    <row r="802" spans="1:7" hidden="1" outlineLevel="2" x14ac:dyDescent="0.3">
      <c r="A802">
        <v>58</v>
      </c>
      <c r="B802" t="s">
        <v>120</v>
      </c>
      <c r="C802">
        <v>23</v>
      </c>
      <c r="D802" t="s">
        <v>8</v>
      </c>
      <c r="E802">
        <v>152</v>
      </c>
      <c r="F802" t="s">
        <v>121</v>
      </c>
      <c r="G802">
        <v>1.74</v>
      </c>
    </row>
    <row r="803" spans="1:7" outlineLevel="1" collapsed="1" x14ac:dyDescent="0.3">
      <c r="E803" s="1" t="s">
        <v>1500</v>
      </c>
      <c r="F803" t="str">
        <f>F802</f>
        <v>Darkheart</v>
      </c>
      <c r="G803">
        <f>SUBTOTAL(3,G799:G802)</f>
        <v>4</v>
      </c>
    </row>
    <row r="804" spans="1:7" hidden="1" outlineLevel="2" x14ac:dyDescent="0.3">
      <c r="A804">
        <v>578</v>
      </c>
      <c r="B804" t="s">
        <v>390</v>
      </c>
      <c r="C804">
        <v>29</v>
      </c>
      <c r="D804" t="s">
        <v>39</v>
      </c>
      <c r="E804">
        <v>153</v>
      </c>
      <c r="F804" t="s">
        <v>312</v>
      </c>
      <c r="G804">
        <v>3.74</v>
      </c>
    </row>
    <row r="805" spans="1:7" hidden="1" outlineLevel="2" x14ac:dyDescent="0.3">
      <c r="A805">
        <v>286</v>
      </c>
      <c r="B805" t="s">
        <v>404</v>
      </c>
      <c r="C805">
        <v>25</v>
      </c>
      <c r="D805" t="s">
        <v>8</v>
      </c>
      <c r="E805">
        <v>153</v>
      </c>
      <c r="F805" t="s">
        <v>312</v>
      </c>
      <c r="G805">
        <v>3.74</v>
      </c>
    </row>
    <row r="806" spans="1:7" hidden="1" outlineLevel="2" x14ac:dyDescent="0.3">
      <c r="A806">
        <v>198</v>
      </c>
      <c r="B806" t="s">
        <v>168</v>
      </c>
      <c r="C806">
        <v>20</v>
      </c>
      <c r="D806" t="s">
        <v>8</v>
      </c>
      <c r="E806">
        <v>153</v>
      </c>
      <c r="F806" t="s">
        <v>312</v>
      </c>
      <c r="G806">
        <v>3.74</v>
      </c>
    </row>
    <row r="807" spans="1:7" hidden="1" outlineLevel="2" x14ac:dyDescent="0.3">
      <c r="A807">
        <v>679</v>
      </c>
      <c r="B807" t="s">
        <v>530</v>
      </c>
      <c r="C807">
        <v>10</v>
      </c>
      <c r="D807" t="s">
        <v>8</v>
      </c>
      <c r="E807">
        <v>153</v>
      </c>
      <c r="F807" t="s">
        <v>312</v>
      </c>
      <c r="G807">
        <v>3.74</v>
      </c>
    </row>
    <row r="808" spans="1:7" outlineLevel="1" collapsed="1" x14ac:dyDescent="0.3">
      <c r="E808" s="1" t="s">
        <v>1501</v>
      </c>
      <c r="F808" t="str">
        <f>F807</f>
        <v>Mercenary Sabre</v>
      </c>
      <c r="G808">
        <f>SUBTOTAL(3,G804:G807)</f>
        <v>4</v>
      </c>
    </row>
    <row r="809" spans="1:7" hidden="1" outlineLevel="2" x14ac:dyDescent="0.3">
      <c r="A809">
        <v>422</v>
      </c>
      <c r="B809" t="s">
        <v>528</v>
      </c>
      <c r="C809">
        <v>24</v>
      </c>
      <c r="D809" t="s">
        <v>39</v>
      </c>
      <c r="E809">
        <v>154</v>
      </c>
      <c r="F809" t="s">
        <v>290</v>
      </c>
      <c r="G809">
        <v>4.4000000000000004</v>
      </c>
    </row>
    <row r="810" spans="1:7" hidden="1" outlineLevel="2" x14ac:dyDescent="0.3">
      <c r="A810">
        <v>225</v>
      </c>
      <c r="B810" t="s">
        <v>339</v>
      </c>
      <c r="C810">
        <v>24</v>
      </c>
      <c r="D810" t="s">
        <v>39</v>
      </c>
      <c r="E810">
        <v>154</v>
      </c>
      <c r="F810" t="s">
        <v>290</v>
      </c>
      <c r="G810">
        <v>4.4000000000000004</v>
      </c>
    </row>
    <row r="811" spans="1:7" hidden="1" outlineLevel="2" x14ac:dyDescent="0.3">
      <c r="A811">
        <v>324</v>
      </c>
      <c r="B811" t="s">
        <v>440</v>
      </c>
      <c r="C811">
        <v>15</v>
      </c>
      <c r="D811" t="s">
        <v>8</v>
      </c>
      <c r="E811">
        <v>154</v>
      </c>
      <c r="F811" t="s">
        <v>290</v>
      </c>
      <c r="G811">
        <v>4.4000000000000004</v>
      </c>
    </row>
    <row r="812" spans="1:7" hidden="1" outlineLevel="2" x14ac:dyDescent="0.3">
      <c r="A812">
        <v>182</v>
      </c>
      <c r="B812" t="s">
        <v>289</v>
      </c>
      <c r="C812">
        <v>38</v>
      </c>
      <c r="D812" t="s">
        <v>8</v>
      </c>
      <c r="E812">
        <v>154</v>
      </c>
      <c r="F812" t="s">
        <v>290</v>
      </c>
      <c r="G812">
        <v>4.4000000000000004</v>
      </c>
    </row>
    <row r="813" spans="1:7" outlineLevel="1" collapsed="1" x14ac:dyDescent="0.3">
      <c r="E813" s="1" t="s">
        <v>1502</v>
      </c>
      <c r="F813" t="str">
        <f>F812</f>
        <v>Feral Katana</v>
      </c>
      <c r="G813">
        <f>SUBTOTAL(3,G809:G812)</f>
        <v>4</v>
      </c>
    </row>
    <row r="814" spans="1:7" hidden="1" outlineLevel="2" x14ac:dyDescent="0.3">
      <c r="A814">
        <v>586</v>
      </c>
      <c r="B814" t="s">
        <v>649</v>
      </c>
      <c r="C814">
        <v>23</v>
      </c>
      <c r="D814" t="s">
        <v>39</v>
      </c>
      <c r="E814">
        <v>155</v>
      </c>
      <c r="F814" t="s">
        <v>399</v>
      </c>
      <c r="G814">
        <v>1.01</v>
      </c>
    </row>
    <row r="815" spans="1:7" hidden="1" outlineLevel="2" x14ac:dyDescent="0.3">
      <c r="A815">
        <v>282</v>
      </c>
      <c r="B815" t="s">
        <v>398</v>
      </c>
      <c r="C815">
        <v>21</v>
      </c>
      <c r="D815" t="s">
        <v>8</v>
      </c>
      <c r="E815">
        <v>155</v>
      </c>
      <c r="F815" t="s">
        <v>399</v>
      </c>
      <c r="G815">
        <v>1.01</v>
      </c>
    </row>
    <row r="816" spans="1:7" hidden="1" outlineLevel="2" x14ac:dyDescent="0.3">
      <c r="A816">
        <v>371</v>
      </c>
      <c r="B816" t="s">
        <v>484</v>
      </c>
      <c r="C816">
        <v>23</v>
      </c>
      <c r="D816" t="s">
        <v>8</v>
      </c>
      <c r="E816">
        <v>155</v>
      </c>
      <c r="F816" t="s">
        <v>399</v>
      </c>
      <c r="G816">
        <v>1.01</v>
      </c>
    </row>
    <row r="817" spans="1:7" hidden="1" outlineLevel="2" x14ac:dyDescent="0.3">
      <c r="A817">
        <v>552</v>
      </c>
      <c r="B817" t="s">
        <v>544</v>
      </c>
      <c r="C817">
        <v>15</v>
      </c>
      <c r="D817" t="s">
        <v>8</v>
      </c>
      <c r="E817">
        <v>155</v>
      </c>
      <c r="F817" t="s">
        <v>399</v>
      </c>
      <c r="G817">
        <v>1.01</v>
      </c>
    </row>
    <row r="818" spans="1:7" hidden="1" outlineLevel="2" x14ac:dyDescent="0.3">
      <c r="A818">
        <v>535</v>
      </c>
      <c r="B818" t="s">
        <v>509</v>
      </c>
      <c r="C818">
        <v>20</v>
      </c>
      <c r="D818" t="s">
        <v>8</v>
      </c>
      <c r="E818">
        <v>155</v>
      </c>
      <c r="F818" t="s">
        <v>399</v>
      </c>
      <c r="G818">
        <v>1.01</v>
      </c>
    </row>
    <row r="819" spans="1:7" outlineLevel="1" collapsed="1" x14ac:dyDescent="0.3">
      <c r="E819" s="1" t="s">
        <v>1503</v>
      </c>
      <c r="F819" t="str">
        <f>F818</f>
        <v>War-Forged Gold Deflector</v>
      </c>
      <c r="G819">
        <f>SUBTOTAL(3,G814:G818)</f>
        <v>5</v>
      </c>
    </row>
    <row r="820" spans="1:7" hidden="1" outlineLevel="2" x14ac:dyDescent="0.3">
      <c r="A820">
        <v>433</v>
      </c>
      <c r="B820" t="s">
        <v>537</v>
      </c>
      <c r="C820">
        <v>21</v>
      </c>
      <c r="D820" t="s">
        <v>8</v>
      </c>
      <c r="E820">
        <v>156</v>
      </c>
      <c r="F820" t="s">
        <v>407</v>
      </c>
      <c r="G820">
        <v>1.77</v>
      </c>
    </row>
    <row r="821" spans="1:7" hidden="1" outlineLevel="2" x14ac:dyDescent="0.3">
      <c r="A821">
        <v>288</v>
      </c>
      <c r="B821" t="s">
        <v>406</v>
      </c>
      <c r="C821">
        <v>18</v>
      </c>
      <c r="D821" t="s">
        <v>8</v>
      </c>
      <c r="E821">
        <v>156</v>
      </c>
      <c r="F821" t="s">
        <v>407</v>
      </c>
      <c r="G821">
        <v>1.77</v>
      </c>
    </row>
    <row r="822" spans="1:7" hidden="1" outlineLevel="2" x14ac:dyDescent="0.3">
      <c r="A822">
        <v>441</v>
      </c>
      <c r="B822" t="s">
        <v>544</v>
      </c>
      <c r="C822">
        <v>15</v>
      </c>
      <c r="D822" t="s">
        <v>8</v>
      </c>
      <c r="E822">
        <v>156</v>
      </c>
      <c r="F822" t="s">
        <v>407</v>
      </c>
      <c r="G822">
        <v>1.77</v>
      </c>
    </row>
    <row r="823" spans="1:7" hidden="1" outlineLevel="2" x14ac:dyDescent="0.3">
      <c r="A823">
        <v>721</v>
      </c>
      <c r="B823" t="s">
        <v>731</v>
      </c>
      <c r="C823">
        <v>20</v>
      </c>
      <c r="D823" t="s">
        <v>8</v>
      </c>
      <c r="E823">
        <v>156</v>
      </c>
      <c r="F823" t="s">
        <v>407</v>
      </c>
      <c r="G823">
        <v>1.77</v>
      </c>
    </row>
    <row r="824" spans="1:7" hidden="1" outlineLevel="2" x14ac:dyDescent="0.3">
      <c r="A824">
        <v>573</v>
      </c>
      <c r="B824" t="s">
        <v>641</v>
      </c>
      <c r="C824">
        <v>26</v>
      </c>
      <c r="D824" t="s">
        <v>8</v>
      </c>
      <c r="E824">
        <v>156</v>
      </c>
      <c r="F824" t="s">
        <v>407</v>
      </c>
      <c r="G824">
        <v>1.77</v>
      </c>
    </row>
    <row r="825" spans="1:7" outlineLevel="1" collapsed="1" x14ac:dyDescent="0.3">
      <c r="E825" s="1" t="s">
        <v>1504</v>
      </c>
      <c r="F825" t="str">
        <f>F824</f>
        <v>Soul-Forged Steel Shortsword</v>
      </c>
      <c r="G825">
        <f>SUBTOTAL(3,G820:G824)</f>
        <v>5</v>
      </c>
    </row>
    <row r="826" spans="1:7" hidden="1" outlineLevel="2" x14ac:dyDescent="0.3">
      <c r="A826">
        <v>167</v>
      </c>
      <c r="B826" t="s">
        <v>268</v>
      </c>
      <c r="C826">
        <v>23</v>
      </c>
      <c r="D826" t="s">
        <v>8</v>
      </c>
      <c r="E826">
        <v>157</v>
      </c>
      <c r="F826" t="s">
        <v>269</v>
      </c>
      <c r="G826">
        <v>4.8</v>
      </c>
    </row>
    <row r="827" spans="1:7" hidden="1" outlineLevel="2" x14ac:dyDescent="0.3">
      <c r="A827">
        <v>176</v>
      </c>
      <c r="B827" t="s">
        <v>281</v>
      </c>
      <c r="C827">
        <v>17</v>
      </c>
      <c r="D827" t="s">
        <v>8</v>
      </c>
      <c r="E827">
        <v>157</v>
      </c>
      <c r="F827" t="s">
        <v>269</v>
      </c>
      <c r="G827">
        <v>4.8</v>
      </c>
    </row>
    <row r="828" spans="1:7" hidden="1" outlineLevel="2" x14ac:dyDescent="0.3">
      <c r="A828">
        <v>224</v>
      </c>
      <c r="B828" t="s">
        <v>144</v>
      </c>
      <c r="C828">
        <v>25</v>
      </c>
      <c r="D828" t="s">
        <v>8</v>
      </c>
      <c r="E828">
        <v>157</v>
      </c>
      <c r="F828" t="s">
        <v>269</v>
      </c>
      <c r="G828">
        <v>4.8</v>
      </c>
    </row>
    <row r="829" spans="1:7" hidden="1" outlineLevel="2" x14ac:dyDescent="0.3">
      <c r="A829">
        <v>389</v>
      </c>
      <c r="B829" t="s">
        <v>502</v>
      </c>
      <c r="C829">
        <v>15</v>
      </c>
      <c r="D829" t="s">
        <v>8</v>
      </c>
      <c r="E829">
        <v>157</v>
      </c>
      <c r="F829" t="s">
        <v>269</v>
      </c>
      <c r="G829">
        <v>4.8</v>
      </c>
    </row>
    <row r="830" spans="1:7" outlineLevel="1" collapsed="1" x14ac:dyDescent="0.3">
      <c r="E830" s="1" t="s">
        <v>1505</v>
      </c>
      <c r="F830" t="str">
        <f>F829</f>
        <v>Spada, Etcher of Hatred</v>
      </c>
      <c r="G830">
        <f>SUBTOTAL(3,G826:G829)</f>
        <v>4</v>
      </c>
    </row>
    <row r="831" spans="1:7" hidden="1" outlineLevel="2" x14ac:dyDescent="0.3">
      <c r="A831">
        <v>139</v>
      </c>
      <c r="B831" t="s">
        <v>235</v>
      </c>
      <c r="C831">
        <v>13</v>
      </c>
      <c r="D831" t="s">
        <v>8</v>
      </c>
      <c r="E831">
        <v>158</v>
      </c>
      <c r="F831" t="s">
        <v>236</v>
      </c>
      <c r="G831">
        <v>2.4500000000000002</v>
      </c>
    </row>
    <row r="832" spans="1:7" hidden="1" outlineLevel="2" x14ac:dyDescent="0.3">
      <c r="A832">
        <v>719</v>
      </c>
      <c r="B832" t="s">
        <v>729</v>
      </c>
      <c r="C832">
        <v>16</v>
      </c>
      <c r="D832" t="s">
        <v>8</v>
      </c>
      <c r="E832">
        <v>158</v>
      </c>
      <c r="F832" t="s">
        <v>236</v>
      </c>
      <c r="G832">
        <v>2.4500000000000002</v>
      </c>
    </row>
    <row r="833" spans="1:7" outlineLevel="1" collapsed="1" x14ac:dyDescent="0.3">
      <c r="E833" s="1" t="s">
        <v>1506</v>
      </c>
      <c r="F833" t="str">
        <f>F832</f>
        <v>Darkheart, Butcher of the Champion</v>
      </c>
      <c r="G833">
        <f>SUBTOTAL(3,G831:G832)</f>
        <v>2</v>
      </c>
    </row>
    <row r="834" spans="1:7" hidden="1" outlineLevel="2" x14ac:dyDescent="0.3">
      <c r="A834">
        <v>613</v>
      </c>
      <c r="B834" t="s">
        <v>665</v>
      </c>
      <c r="C834">
        <v>21</v>
      </c>
      <c r="D834" t="s">
        <v>39</v>
      </c>
      <c r="E834">
        <v>159</v>
      </c>
      <c r="F834" t="s">
        <v>327</v>
      </c>
      <c r="G834">
        <v>3.08</v>
      </c>
    </row>
    <row r="835" spans="1:7" hidden="1" outlineLevel="2" x14ac:dyDescent="0.3">
      <c r="A835">
        <v>746</v>
      </c>
      <c r="B835" t="s">
        <v>748</v>
      </c>
      <c r="C835">
        <v>23</v>
      </c>
      <c r="D835" t="s">
        <v>8</v>
      </c>
      <c r="E835">
        <v>159</v>
      </c>
      <c r="F835" t="s">
        <v>327</v>
      </c>
      <c r="G835">
        <v>3.08</v>
      </c>
    </row>
    <row r="836" spans="1:7" hidden="1" outlineLevel="2" x14ac:dyDescent="0.3">
      <c r="A836">
        <v>720</v>
      </c>
      <c r="B836" t="s">
        <v>730</v>
      </c>
      <c r="C836">
        <v>19</v>
      </c>
      <c r="D836" t="s">
        <v>8</v>
      </c>
      <c r="E836">
        <v>159</v>
      </c>
      <c r="F836" t="s">
        <v>327</v>
      </c>
      <c r="G836">
        <v>3.08</v>
      </c>
    </row>
    <row r="837" spans="1:7" hidden="1" outlineLevel="2" x14ac:dyDescent="0.3">
      <c r="A837">
        <v>605</v>
      </c>
      <c r="B837" t="s">
        <v>661</v>
      </c>
      <c r="C837">
        <v>18</v>
      </c>
      <c r="D837" t="s">
        <v>8</v>
      </c>
      <c r="E837">
        <v>159</v>
      </c>
      <c r="F837" t="s">
        <v>327</v>
      </c>
      <c r="G837">
        <v>3.08</v>
      </c>
    </row>
    <row r="838" spans="1:7" hidden="1" outlineLevel="2" x14ac:dyDescent="0.3">
      <c r="A838">
        <v>610</v>
      </c>
      <c r="B838" t="s">
        <v>663</v>
      </c>
      <c r="C838">
        <v>7</v>
      </c>
      <c r="D838" t="s">
        <v>8</v>
      </c>
      <c r="E838">
        <v>159</v>
      </c>
      <c r="F838" t="s">
        <v>327</v>
      </c>
      <c r="G838">
        <v>3.08</v>
      </c>
    </row>
    <row r="839" spans="1:7" hidden="1" outlineLevel="2" x14ac:dyDescent="0.3">
      <c r="A839">
        <v>212</v>
      </c>
      <c r="B839" t="s">
        <v>326</v>
      </c>
      <c r="C839">
        <v>23</v>
      </c>
      <c r="D839" t="s">
        <v>8</v>
      </c>
      <c r="E839">
        <v>159</v>
      </c>
      <c r="F839" t="s">
        <v>327</v>
      </c>
      <c r="G839">
        <v>3.08</v>
      </c>
    </row>
    <row r="840" spans="1:7" hidden="1" outlineLevel="2" x14ac:dyDescent="0.3">
      <c r="A840">
        <v>546</v>
      </c>
      <c r="B840" t="s">
        <v>624</v>
      </c>
      <c r="C840">
        <v>9</v>
      </c>
      <c r="D840" t="s">
        <v>8</v>
      </c>
      <c r="E840">
        <v>159</v>
      </c>
      <c r="F840" t="s">
        <v>327</v>
      </c>
      <c r="G840">
        <v>3.08</v>
      </c>
    </row>
    <row r="841" spans="1:7" outlineLevel="1" collapsed="1" x14ac:dyDescent="0.3">
      <c r="E841" s="1" t="s">
        <v>1507</v>
      </c>
      <c r="F841" t="str">
        <f>F840</f>
        <v>Oathbreaker, Spellblade of Trials</v>
      </c>
      <c r="G841">
        <f>SUBTOTAL(3,G834:G840)</f>
        <v>7</v>
      </c>
    </row>
    <row r="842" spans="1:7" hidden="1" outlineLevel="2" x14ac:dyDescent="0.3">
      <c r="A842">
        <v>703</v>
      </c>
      <c r="B842" t="s">
        <v>720</v>
      </c>
      <c r="C842">
        <v>21</v>
      </c>
      <c r="D842" t="s">
        <v>8</v>
      </c>
      <c r="E842">
        <v>160</v>
      </c>
      <c r="F842" t="s">
        <v>78</v>
      </c>
      <c r="G842">
        <v>4.4000000000000004</v>
      </c>
    </row>
    <row r="843" spans="1:7" hidden="1" outlineLevel="2" x14ac:dyDescent="0.3">
      <c r="A843">
        <v>632</v>
      </c>
      <c r="B843" t="s">
        <v>674</v>
      </c>
      <c r="C843">
        <v>17</v>
      </c>
      <c r="D843" t="s">
        <v>8</v>
      </c>
      <c r="E843">
        <v>160</v>
      </c>
      <c r="F843" t="s">
        <v>78</v>
      </c>
      <c r="G843">
        <v>4.4000000000000004</v>
      </c>
    </row>
    <row r="844" spans="1:7" hidden="1" outlineLevel="2" x14ac:dyDescent="0.3">
      <c r="A844">
        <v>551</v>
      </c>
      <c r="B844" t="s">
        <v>233</v>
      </c>
      <c r="C844">
        <v>20</v>
      </c>
      <c r="D844" t="s">
        <v>8</v>
      </c>
      <c r="E844">
        <v>160</v>
      </c>
      <c r="F844" t="s">
        <v>78</v>
      </c>
      <c r="G844">
        <v>4.4000000000000004</v>
      </c>
    </row>
    <row r="845" spans="1:7" hidden="1" outlineLevel="2" x14ac:dyDescent="0.3">
      <c r="A845">
        <v>34</v>
      </c>
      <c r="B845" t="s">
        <v>77</v>
      </c>
      <c r="C845">
        <v>19</v>
      </c>
      <c r="D845" t="s">
        <v>8</v>
      </c>
      <c r="E845">
        <v>160</v>
      </c>
      <c r="F845" t="s">
        <v>78</v>
      </c>
      <c r="G845">
        <v>4.4000000000000004</v>
      </c>
    </row>
    <row r="846" spans="1:7" hidden="1" outlineLevel="2" x14ac:dyDescent="0.3">
      <c r="A846">
        <v>518</v>
      </c>
      <c r="B846" t="s">
        <v>605</v>
      </c>
      <c r="C846">
        <v>29</v>
      </c>
      <c r="D846" t="s">
        <v>8</v>
      </c>
      <c r="E846">
        <v>160</v>
      </c>
      <c r="F846" t="s">
        <v>78</v>
      </c>
      <c r="G846">
        <v>4.4000000000000004</v>
      </c>
    </row>
    <row r="847" spans="1:7" hidden="1" outlineLevel="2" x14ac:dyDescent="0.3">
      <c r="A847">
        <v>82</v>
      </c>
      <c r="B847" t="s">
        <v>156</v>
      </c>
      <c r="C847">
        <v>16</v>
      </c>
      <c r="D847" t="s">
        <v>27</v>
      </c>
      <c r="E847">
        <v>160</v>
      </c>
      <c r="F847" t="s">
        <v>78</v>
      </c>
      <c r="G847">
        <v>4.4000000000000004</v>
      </c>
    </row>
    <row r="848" spans="1:7" outlineLevel="1" collapsed="1" x14ac:dyDescent="0.3">
      <c r="E848" s="1" t="s">
        <v>1508</v>
      </c>
      <c r="F848" t="str">
        <f>F847</f>
        <v>Azurewrath</v>
      </c>
      <c r="G848">
        <f>SUBTOTAL(3,G842:G847)</f>
        <v>6</v>
      </c>
    </row>
    <row r="849" spans="1:7" hidden="1" outlineLevel="2" x14ac:dyDescent="0.3">
      <c r="A849">
        <v>541</v>
      </c>
      <c r="B849" t="s">
        <v>621</v>
      </c>
      <c r="C849">
        <v>31</v>
      </c>
      <c r="D849" t="s">
        <v>8</v>
      </c>
      <c r="E849">
        <v>161</v>
      </c>
      <c r="F849" t="s">
        <v>44</v>
      </c>
      <c r="G849">
        <v>1.76</v>
      </c>
    </row>
    <row r="850" spans="1:7" hidden="1" outlineLevel="2" x14ac:dyDescent="0.3">
      <c r="A850">
        <v>149</v>
      </c>
      <c r="B850" t="s">
        <v>247</v>
      </c>
      <c r="C850">
        <v>17</v>
      </c>
      <c r="D850" t="s">
        <v>8</v>
      </c>
      <c r="E850">
        <v>161</v>
      </c>
      <c r="F850" t="s">
        <v>44</v>
      </c>
      <c r="G850">
        <v>1.76</v>
      </c>
    </row>
    <row r="851" spans="1:7" hidden="1" outlineLevel="2" x14ac:dyDescent="0.3">
      <c r="A851">
        <v>650</v>
      </c>
      <c r="B851" t="s">
        <v>391</v>
      </c>
      <c r="C851">
        <v>30</v>
      </c>
      <c r="D851" t="s">
        <v>8</v>
      </c>
      <c r="E851">
        <v>161</v>
      </c>
      <c r="F851" t="s">
        <v>44</v>
      </c>
      <c r="G851">
        <v>1.76</v>
      </c>
    </row>
    <row r="852" spans="1:7" hidden="1" outlineLevel="2" x14ac:dyDescent="0.3">
      <c r="A852">
        <v>332</v>
      </c>
      <c r="B852" t="s">
        <v>447</v>
      </c>
      <c r="C852">
        <v>25</v>
      </c>
      <c r="D852" t="s">
        <v>8</v>
      </c>
      <c r="E852">
        <v>161</v>
      </c>
      <c r="F852" t="s">
        <v>44</v>
      </c>
      <c r="G852">
        <v>1.76</v>
      </c>
    </row>
    <row r="853" spans="1:7" hidden="1" outlineLevel="2" x14ac:dyDescent="0.3">
      <c r="A853">
        <v>17</v>
      </c>
      <c r="B853" t="s">
        <v>43</v>
      </c>
      <c r="C853">
        <v>21</v>
      </c>
      <c r="D853" t="s">
        <v>8</v>
      </c>
      <c r="E853">
        <v>161</v>
      </c>
      <c r="F853" t="s">
        <v>44</v>
      </c>
      <c r="G853">
        <v>1.76</v>
      </c>
    </row>
    <row r="854" spans="1:7" outlineLevel="1" collapsed="1" x14ac:dyDescent="0.3">
      <c r="E854" s="1" t="s">
        <v>1509</v>
      </c>
      <c r="F854" t="str">
        <f>F853</f>
        <v>Devine</v>
      </c>
      <c r="G854">
        <f>SUBTOTAL(3,G849:G853)</f>
        <v>5</v>
      </c>
    </row>
    <row r="855" spans="1:7" hidden="1" outlineLevel="2" x14ac:dyDescent="0.3">
      <c r="A855">
        <v>209</v>
      </c>
      <c r="B855" t="s">
        <v>324</v>
      </c>
      <c r="C855">
        <v>22</v>
      </c>
      <c r="D855" t="s">
        <v>8</v>
      </c>
      <c r="E855">
        <v>162</v>
      </c>
      <c r="F855" t="s">
        <v>23</v>
      </c>
      <c r="G855">
        <v>2.67</v>
      </c>
    </row>
    <row r="856" spans="1:7" hidden="1" outlineLevel="2" x14ac:dyDescent="0.3">
      <c r="A856">
        <v>510</v>
      </c>
      <c r="B856" t="s">
        <v>599</v>
      </c>
      <c r="C856">
        <v>22</v>
      </c>
      <c r="D856" t="s">
        <v>8</v>
      </c>
      <c r="E856">
        <v>162</v>
      </c>
      <c r="F856" t="s">
        <v>23</v>
      </c>
      <c r="G856">
        <v>2.67</v>
      </c>
    </row>
    <row r="857" spans="1:7" hidden="1" outlineLevel="2" x14ac:dyDescent="0.3">
      <c r="A857">
        <v>403</v>
      </c>
      <c r="B857" t="s">
        <v>515</v>
      </c>
      <c r="C857">
        <v>24</v>
      </c>
      <c r="D857" t="s">
        <v>8</v>
      </c>
      <c r="E857">
        <v>162</v>
      </c>
      <c r="F857" t="s">
        <v>23</v>
      </c>
      <c r="G857">
        <v>2.67</v>
      </c>
    </row>
    <row r="858" spans="1:7" hidden="1" outlineLevel="2" x14ac:dyDescent="0.3">
      <c r="A858">
        <v>11</v>
      </c>
      <c r="B858" t="s">
        <v>31</v>
      </c>
      <c r="C858">
        <v>23</v>
      </c>
      <c r="D858" t="s">
        <v>8</v>
      </c>
      <c r="E858">
        <v>162</v>
      </c>
      <c r="F858" t="s">
        <v>23</v>
      </c>
      <c r="G858">
        <v>2.67</v>
      </c>
    </row>
    <row r="859" spans="1:7" hidden="1" outlineLevel="2" x14ac:dyDescent="0.3">
      <c r="A859">
        <v>7</v>
      </c>
      <c r="B859" t="s">
        <v>22</v>
      </c>
      <c r="C859">
        <v>20</v>
      </c>
      <c r="D859" t="s">
        <v>8</v>
      </c>
      <c r="E859">
        <v>162</v>
      </c>
      <c r="F859" t="s">
        <v>23</v>
      </c>
      <c r="G859">
        <v>2.67</v>
      </c>
    </row>
    <row r="860" spans="1:7" outlineLevel="1" collapsed="1" x14ac:dyDescent="0.3">
      <c r="E860" s="1" t="s">
        <v>1510</v>
      </c>
      <c r="F860" t="str">
        <f>F859</f>
        <v>Abyssal Shard</v>
      </c>
      <c r="G860">
        <f>SUBTOTAL(3,G855:G859)</f>
        <v>5</v>
      </c>
    </row>
    <row r="861" spans="1:7" hidden="1" outlineLevel="2" x14ac:dyDescent="0.3">
      <c r="A861">
        <v>285</v>
      </c>
      <c r="B861" t="s">
        <v>403</v>
      </c>
      <c r="C861">
        <v>26</v>
      </c>
      <c r="D861" t="s">
        <v>8</v>
      </c>
      <c r="E861">
        <v>163</v>
      </c>
      <c r="F861" t="s">
        <v>350</v>
      </c>
      <c r="G861">
        <v>3.45</v>
      </c>
    </row>
    <row r="862" spans="1:7" hidden="1" outlineLevel="2" x14ac:dyDescent="0.3">
      <c r="A862">
        <v>235</v>
      </c>
      <c r="B862" t="s">
        <v>349</v>
      </c>
      <c r="C862">
        <v>24</v>
      </c>
      <c r="D862" t="s">
        <v>8</v>
      </c>
      <c r="E862">
        <v>163</v>
      </c>
      <c r="F862" t="s">
        <v>350</v>
      </c>
      <c r="G862">
        <v>3.45</v>
      </c>
    </row>
    <row r="863" spans="1:7" hidden="1" outlineLevel="2" x14ac:dyDescent="0.3">
      <c r="A863">
        <v>354</v>
      </c>
      <c r="B863" t="s">
        <v>469</v>
      </c>
      <c r="C863">
        <v>21</v>
      </c>
      <c r="D863" t="s">
        <v>8</v>
      </c>
      <c r="E863">
        <v>163</v>
      </c>
      <c r="F863" t="s">
        <v>350</v>
      </c>
      <c r="G863">
        <v>3.45</v>
      </c>
    </row>
    <row r="864" spans="1:7" hidden="1" outlineLevel="2" x14ac:dyDescent="0.3">
      <c r="A864">
        <v>279</v>
      </c>
      <c r="B864" t="s">
        <v>395</v>
      </c>
      <c r="C864">
        <v>20</v>
      </c>
      <c r="D864" t="s">
        <v>8</v>
      </c>
      <c r="E864">
        <v>163</v>
      </c>
      <c r="F864" t="s">
        <v>350</v>
      </c>
      <c r="G864">
        <v>3.45</v>
      </c>
    </row>
    <row r="865" spans="1:7" hidden="1" outlineLevel="2" x14ac:dyDescent="0.3">
      <c r="A865">
        <v>637</v>
      </c>
      <c r="B865" t="s">
        <v>676</v>
      </c>
      <c r="C865">
        <v>24</v>
      </c>
      <c r="D865" t="s">
        <v>27</v>
      </c>
      <c r="E865">
        <v>163</v>
      </c>
      <c r="F865" t="s">
        <v>350</v>
      </c>
      <c r="G865">
        <v>3.45</v>
      </c>
    </row>
    <row r="866" spans="1:7" outlineLevel="1" collapsed="1" x14ac:dyDescent="0.3">
      <c r="E866" s="1" t="s">
        <v>1511</v>
      </c>
      <c r="F866" t="str">
        <f>F865</f>
        <v>Thunderfury Scimitar</v>
      </c>
      <c r="G866">
        <f>SUBTOTAL(3,G861:G865)</f>
        <v>5</v>
      </c>
    </row>
    <row r="867" spans="1:7" hidden="1" outlineLevel="2" x14ac:dyDescent="0.3">
      <c r="A867">
        <v>153</v>
      </c>
      <c r="B867" t="s">
        <v>251</v>
      </c>
      <c r="C867">
        <v>21</v>
      </c>
      <c r="D867" t="s">
        <v>8</v>
      </c>
      <c r="E867">
        <v>164</v>
      </c>
      <c r="F867" t="s">
        <v>175</v>
      </c>
      <c r="G867">
        <v>1.63</v>
      </c>
    </row>
    <row r="868" spans="1:7" hidden="1" outlineLevel="2" x14ac:dyDescent="0.3">
      <c r="A868">
        <v>430</v>
      </c>
      <c r="B868" t="s">
        <v>535</v>
      </c>
      <c r="C868">
        <v>15</v>
      </c>
      <c r="D868" t="s">
        <v>8</v>
      </c>
      <c r="E868">
        <v>164</v>
      </c>
      <c r="F868" t="s">
        <v>175</v>
      </c>
      <c r="G868">
        <v>1.63</v>
      </c>
    </row>
    <row r="869" spans="1:7" hidden="1" outlineLevel="2" x14ac:dyDescent="0.3">
      <c r="A869">
        <v>95</v>
      </c>
      <c r="B869" t="s">
        <v>174</v>
      </c>
      <c r="C869">
        <v>18</v>
      </c>
      <c r="D869" t="s">
        <v>8</v>
      </c>
      <c r="E869">
        <v>164</v>
      </c>
      <c r="F869" t="s">
        <v>175</v>
      </c>
      <c r="G869">
        <v>1.63</v>
      </c>
    </row>
    <row r="870" spans="1:7" hidden="1" outlineLevel="2" x14ac:dyDescent="0.3">
      <c r="A870">
        <v>776</v>
      </c>
      <c r="B870" t="s">
        <v>220</v>
      </c>
      <c r="C870">
        <v>21</v>
      </c>
      <c r="D870" t="s">
        <v>8</v>
      </c>
      <c r="E870">
        <v>164</v>
      </c>
      <c r="F870" t="s">
        <v>175</v>
      </c>
      <c r="G870">
        <v>1.63</v>
      </c>
    </row>
    <row r="871" spans="1:7" hidden="1" outlineLevel="2" x14ac:dyDescent="0.3">
      <c r="A871">
        <v>299</v>
      </c>
      <c r="B871" t="s">
        <v>61</v>
      </c>
      <c r="C871">
        <v>11</v>
      </c>
      <c r="D871" t="s">
        <v>8</v>
      </c>
      <c r="E871">
        <v>164</v>
      </c>
      <c r="F871" t="s">
        <v>175</v>
      </c>
      <c r="G871">
        <v>1.63</v>
      </c>
    </row>
    <row r="872" spans="1:7" hidden="1" outlineLevel="2" x14ac:dyDescent="0.3">
      <c r="A872">
        <v>694</v>
      </c>
      <c r="B872" t="s">
        <v>701</v>
      </c>
      <c r="C872">
        <v>22</v>
      </c>
      <c r="D872" t="s">
        <v>8</v>
      </c>
      <c r="E872">
        <v>164</v>
      </c>
      <c r="F872" t="s">
        <v>175</v>
      </c>
      <c r="G872">
        <v>1.63</v>
      </c>
    </row>
    <row r="873" spans="1:7" hidden="1" outlineLevel="2" x14ac:dyDescent="0.3">
      <c r="A873">
        <v>382</v>
      </c>
      <c r="B873" t="s">
        <v>495</v>
      </c>
      <c r="C873">
        <v>24</v>
      </c>
      <c r="D873" t="s">
        <v>8</v>
      </c>
      <c r="E873">
        <v>164</v>
      </c>
      <c r="F873" t="s">
        <v>175</v>
      </c>
      <c r="G873">
        <v>1.63</v>
      </c>
    </row>
    <row r="874" spans="1:7" outlineLevel="1" collapsed="1" x14ac:dyDescent="0.3">
      <c r="E874" s="1" t="s">
        <v>1512</v>
      </c>
      <c r="F874" t="str">
        <f>F873</f>
        <v>Exiled Doomblade</v>
      </c>
      <c r="G874">
        <f>SUBTOTAL(3,G867:G873)</f>
        <v>7</v>
      </c>
    </row>
    <row r="875" spans="1:7" hidden="1" outlineLevel="2" x14ac:dyDescent="0.3">
      <c r="A875">
        <v>734</v>
      </c>
      <c r="B875" t="s">
        <v>671</v>
      </c>
      <c r="C875">
        <v>25</v>
      </c>
      <c r="D875" t="s">
        <v>8</v>
      </c>
      <c r="E875">
        <v>165</v>
      </c>
      <c r="F875" t="s">
        <v>37</v>
      </c>
      <c r="G875">
        <v>4.8600000000000003</v>
      </c>
    </row>
    <row r="876" spans="1:7" hidden="1" outlineLevel="2" x14ac:dyDescent="0.3">
      <c r="A876">
        <v>80</v>
      </c>
      <c r="B876" t="s">
        <v>153</v>
      </c>
      <c r="C876">
        <v>23</v>
      </c>
      <c r="D876" t="s">
        <v>8</v>
      </c>
      <c r="E876">
        <v>165</v>
      </c>
      <c r="F876" t="s">
        <v>37</v>
      </c>
      <c r="G876">
        <v>4.8600000000000003</v>
      </c>
    </row>
    <row r="877" spans="1:7" hidden="1" outlineLevel="2" x14ac:dyDescent="0.3">
      <c r="A877">
        <v>571</v>
      </c>
      <c r="B877" t="s">
        <v>639</v>
      </c>
      <c r="C877">
        <v>16</v>
      </c>
      <c r="D877" t="s">
        <v>8</v>
      </c>
      <c r="E877">
        <v>165</v>
      </c>
      <c r="F877" t="s">
        <v>37</v>
      </c>
      <c r="G877">
        <v>4.8600000000000003</v>
      </c>
    </row>
    <row r="878" spans="1:7" hidden="1" outlineLevel="2" x14ac:dyDescent="0.3">
      <c r="A878">
        <v>14</v>
      </c>
      <c r="B878" t="s">
        <v>36</v>
      </c>
      <c r="C878">
        <v>35</v>
      </c>
      <c r="D878" t="s">
        <v>8</v>
      </c>
      <c r="E878">
        <v>165</v>
      </c>
      <c r="F878" t="s">
        <v>37</v>
      </c>
      <c r="G878">
        <v>4.8600000000000003</v>
      </c>
    </row>
    <row r="879" spans="1:7" outlineLevel="1" collapsed="1" x14ac:dyDescent="0.3">
      <c r="E879" s="1" t="s">
        <v>1513</v>
      </c>
      <c r="F879" t="str">
        <f>F878</f>
        <v>Bone Crushing Silver Skewer</v>
      </c>
      <c r="G879">
        <f>SUBTOTAL(3,G875:G878)</f>
        <v>4</v>
      </c>
    </row>
    <row r="880" spans="1:7" hidden="1" outlineLevel="2" x14ac:dyDescent="0.3">
      <c r="A880">
        <v>458</v>
      </c>
      <c r="B880" t="s">
        <v>558</v>
      </c>
      <c r="C880">
        <v>29</v>
      </c>
      <c r="D880" t="s">
        <v>8</v>
      </c>
      <c r="E880">
        <v>166</v>
      </c>
      <c r="F880" t="s">
        <v>388</v>
      </c>
      <c r="G880">
        <v>3.07</v>
      </c>
    </row>
    <row r="881" spans="1:7" hidden="1" outlineLevel="2" x14ac:dyDescent="0.3">
      <c r="A881">
        <v>271</v>
      </c>
      <c r="B881" t="s">
        <v>387</v>
      </c>
      <c r="C881">
        <v>22</v>
      </c>
      <c r="D881" t="s">
        <v>8</v>
      </c>
      <c r="E881">
        <v>166</v>
      </c>
      <c r="F881" t="s">
        <v>388</v>
      </c>
      <c r="G881">
        <v>3.07</v>
      </c>
    </row>
    <row r="882" spans="1:7" hidden="1" outlineLevel="2" x14ac:dyDescent="0.3">
      <c r="A882">
        <v>600</v>
      </c>
      <c r="B882" t="s">
        <v>658</v>
      </c>
      <c r="C882">
        <v>16</v>
      </c>
      <c r="D882" t="s">
        <v>8</v>
      </c>
      <c r="E882">
        <v>166</v>
      </c>
      <c r="F882" t="s">
        <v>388</v>
      </c>
      <c r="G882">
        <v>3.07</v>
      </c>
    </row>
    <row r="883" spans="1:7" outlineLevel="1" collapsed="1" x14ac:dyDescent="0.3">
      <c r="E883" s="1" t="s">
        <v>1514</v>
      </c>
      <c r="F883" t="str">
        <f>F882</f>
        <v>Thirsty Iron Reaver</v>
      </c>
      <c r="G883">
        <f>SUBTOTAL(3,G880:G882)</f>
        <v>3</v>
      </c>
    </row>
    <row r="884" spans="1:7" hidden="1" outlineLevel="2" x14ac:dyDescent="0.3">
      <c r="A884">
        <v>278</v>
      </c>
      <c r="B884" t="s">
        <v>199</v>
      </c>
      <c r="C884">
        <v>21</v>
      </c>
      <c r="D884" t="s">
        <v>39</v>
      </c>
      <c r="E884">
        <v>167</v>
      </c>
      <c r="F884" t="s">
        <v>394</v>
      </c>
      <c r="G884">
        <v>3.61</v>
      </c>
    </row>
    <row r="885" spans="1:7" hidden="1" outlineLevel="2" x14ac:dyDescent="0.3">
      <c r="A885">
        <v>628</v>
      </c>
      <c r="B885" t="s">
        <v>462</v>
      </c>
      <c r="C885">
        <v>19</v>
      </c>
      <c r="D885" t="s">
        <v>8</v>
      </c>
      <c r="E885">
        <v>167</v>
      </c>
      <c r="F885" t="s">
        <v>394</v>
      </c>
      <c r="G885">
        <v>3.61</v>
      </c>
    </row>
    <row r="886" spans="1:7" hidden="1" outlineLevel="2" x14ac:dyDescent="0.3">
      <c r="A886">
        <v>330</v>
      </c>
      <c r="B886" t="s">
        <v>445</v>
      </c>
      <c r="C886">
        <v>23</v>
      </c>
      <c r="D886" t="s">
        <v>8</v>
      </c>
      <c r="E886">
        <v>167</v>
      </c>
      <c r="F886" t="s">
        <v>394</v>
      </c>
      <c r="G886">
        <v>3.61</v>
      </c>
    </row>
    <row r="887" spans="1:7" hidden="1" outlineLevel="2" x14ac:dyDescent="0.3">
      <c r="A887">
        <v>750</v>
      </c>
      <c r="B887" t="s">
        <v>750</v>
      </c>
      <c r="C887">
        <v>22</v>
      </c>
      <c r="D887" t="s">
        <v>8</v>
      </c>
      <c r="E887">
        <v>167</v>
      </c>
      <c r="F887" t="s">
        <v>394</v>
      </c>
      <c r="G887">
        <v>3.61</v>
      </c>
    </row>
    <row r="888" spans="1:7" outlineLevel="1" collapsed="1" x14ac:dyDescent="0.3">
      <c r="E888" s="1" t="s">
        <v>1515</v>
      </c>
      <c r="F888" t="str">
        <f>F887</f>
        <v>Malice, Legacy of the Queen</v>
      </c>
      <c r="G888">
        <f>SUBTOTAL(3,G884:G887)</f>
        <v>4</v>
      </c>
    </row>
    <row r="889" spans="1:7" hidden="1" outlineLevel="2" x14ac:dyDescent="0.3">
      <c r="A889">
        <v>461</v>
      </c>
      <c r="B889" t="s">
        <v>561</v>
      </c>
      <c r="C889">
        <v>24</v>
      </c>
      <c r="D889" t="s">
        <v>8</v>
      </c>
      <c r="E889">
        <v>168</v>
      </c>
      <c r="F889" t="s">
        <v>52</v>
      </c>
      <c r="G889">
        <v>1.48</v>
      </c>
    </row>
    <row r="890" spans="1:7" hidden="1" outlineLevel="2" x14ac:dyDescent="0.3">
      <c r="A890">
        <v>21</v>
      </c>
      <c r="B890" t="s">
        <v>51</v>
      </c>
      <c r="C890">
        <v>20</v>
      </c>
      <c r="D890" t="s">
        <v>8</v>
      </c>
      <c r="E890">
        <v>168</v>
      </c>
      <c r="F890" t="s">
        <v>52</v>
      </c>
      <c r="G890">
        <v>1.48</v>
      </c>
    </row>
    <row r="891" spans="1:7" outlineLevel="1" collapsed="1" x14ac:dyDescent="0.3">
      <c r="E891" s="1" t="s">
        <v>1516</v>
      </c>
      <c r="F891" t="str">
        <f>F890</f>
        <v>Sun Strike, Jaws of Twisted Visions</v>
      </c>
      <c r="G891">
        <f>SUBTOTAL(3,G889:G890)</f>
        <v>2</v>
      </c>
    </row>
    <row r="892" spans="1:7" hidden="1" outlineLevel="2" x14ac:dyDescent="0.3">
      <c r="A892">
        <v>297</v>
      </c>
      <c r="B892" t="s">
        <v>270</v>
      </c>
      <c r="C892">
        <v>16</v>
      </c>
      <c r="D892" t="s">
        <v>39</v>
      </c>
      <c r="E892">
        <v>169</v>
      </c>
      <c r="F892" t="s">
        <v>21</v>
      </c>
      <c r="G892">
        <v>2.1800000000000002</v>
      </c>
    </row>
    <row r="893" spans="1:7" hidden="1" outlineLevel="2" x14ac:dyDescent="0.3">
      <c r="A893">
        <v>6</v>
      </c>
      <c r="B893" t="s">
        <v>20</v>
      </c>
      <c r="C893">
        <v>36</v>
      </c>
      <c r="D893" t="s">
        <v>8</v>
      </c>
      <c r="E893">
        <v>169</v>
      </c>
      <c r="F893" t="s">
        <v>21</v>
      </c>
      <c r="G893">
        <v>2.1800000000000002</v>
      </c>
    </row>
    <row r="894" spans="1:7" hidden="1" outlineLevel="2" x14ac:dyDescent="0.3">
      <c r="A894">
        <v>684</v>
      </c>
      <c r="B894" t="s">
        <v>644</v>
      </c>
      <c r="C894">
        <v>23</v>
      </c>
      <c r="D894" t="s">
        <v>8</v>
      </c>
      <c r="E894">
        <v>169</v>
      </c>
      <c r="F894" t="s">
        <v>21</v>
      </c>
      <c r="G894">
        <v>2.1800000000000002</v>
      </c>
    </row>
    <row r="895" spans="1:7" hidden="1" outlineLevel="2" x14ac:dyDescent="0.3">
      <c r="A895">
        <v>512</v>
      </c>
      <c r="B895" t="s">
        <v>600</v>
      </c>
      <c r="C895">
        <v>35</v>
      </c>
      <c r="D895" t="s">
        <v>8</v>
      </c>
      <c r="E895">
        <v>169</v>
      </c>
      <c r="F895" t="s">
        <v>21</v>
      </c>
      <c r="G895">
        <v>2.1800000000000002</v>
      </c>
    </row>
    <row r="896" spans="1:7" outlineLevel="1" collapsed="1" x14ac:dyDescent="0.3">
      <c r="E896" s="1" t="s">
        <v>1517</v>
      </c>
      <c r="F896" t="str">
        <f>F895</f>
        <v>Interrogator, Blood Blade of the Queen</v>
      </c>
      <c r="G896">
        <f>SUBTOTAL(3,G892:G895)</f>
        <v>4</v>
      </c>
    </row>
    <row r="897" spans="1:7" hidden="1" outlineLevel="2" x14ac:dyDescent="0.3">
      <c r="A897">
        <v>427</v>
      </c>
      <c r="B897" t="s">
        <v>533</v>
      </c>
      <c r="C897">
        <v>24</v>
      </c>
      <c r="D897" t="s">
        <v>39</v>
      </c>
      <c r="E897">
        <v>170</v>
      </c>
      <c r="F897" t="s">
        <v>101</v>
      </c>
      <c r="G897">
        <v>3.97</v>
      </c>
    </row>
    <row r="898" spans="1:7" hidden="1" outlineLevel="2" x14ac:dyDescent="0.3">
      <c r="A898">
        <v>309</v>
      </c>
      <c r="B898" t="s">
        <v>428</v>
      </c>
      <c r="C898">
        <v>25</v>
      </c>
      <c r="D898" t="s">
        <v>8</v>
      </c>
      <c r="E898">
        <v>170</v>
      </c>
      <c r="F898" t="s">
        <v>101</v>
      </c>
      <c r="G898">
        <v>3.97</v>
      </c>
    </row>
    <row r="899" spans="1:7" hidden="1" outlineLevel="2" x14ac:dyDescent="0.3">
      <c r="A899">
        <v>47</v>
      </c>
      <c r="B899" t="s">
        <v>100</v>
      </c>
      <c r="C899">
        <v>20</v>
      </c>
      <c r="D899" t="s">
        <v>8</v>
      </c>
      <c r="E899">
        <v>170</v>
      </c>
      <c r="F899" t="s">
        <v>101</v>
      </c>
      <c r="G899">
        <v>3.97</v>
      </c>
    </row>
    <row r="900" spans="1:7" hidden="1" outlineLevel="2" x14ac:dyDescent="0.3">
      <c r="A900">
        <v>592</v>
      </c>
      <c r="B900" t="s">
        <v>654</v>
      </c>
      <c r="C900">
        <v>22</v>
      </c>
      <c r="D900" t="s">
        <v>8</v>
      </c>
      <c r="E900">
        <v>170</v>
      </c>
      <c r="F900" t="s">
        <v>101</v>
      </c>
      <c r="G900">
        <v>3.97</v>
      </c>
    </row>
    <row r="901" spans="1:7" outlineLevel="1" collapsed="1" x14ac:dyDescent="0.3">
      <c r="E901" s="1" t="s">
        <v>1518</v>
      </c>
      <c r="F901" t="str">
        <f>F900</f>
        <v>Shadowsteel</v>
      </c>
      <c r="G901">
        <f>SUBTOTAL(3,G897:G900)</f>
        <v>4</v>
      </c>
    </row>
    <row r="902" spans="1:7" hidden="1" outlineLevel="2" x14ac:dyDescent="0.3">
      <c r="A902">
        <v>630</v>
      </c>
      <c r="B902" t="s">
        <v>672</v>
      </c>
      <c r="C902">
        <v>23</v>
      </c>
      <c r="D902" t="s">
        <v>8</v>
      </c>
      <c r="E902">
        <v>171</v>
      </c>
      <c r="F902" t="s">
        <v>413</v>
      </c>
      <c r="G902">
        <v>1.79</v>
      </c>
    </row>
    <row r="903" spans="1:7" hidden="1" outlineLevel="2" x14ac:dyDescent="0.3">
      <c r="A903">
        <v>419</v>
      </c>
      <c r="B903" t="s">
        <v>104</v>
      </c>
      <c r="C903">
        <v>33</v>
      </c>
      <c r="D903" t="s">
        <v>8</v>
      </c>
      <c r="E903">
        <v>171</v>
      </c>
      <c r="F903" t="s">
        <v>413</v>
      </c>
      <c r="G903">
        <v>1.79</v>
      </c>
    </row>
    <row r="904" spans="1:7" hidden="1" outlineLevel="2" x14ac:dyDescent="0.3">
      <c r="A904">
        <v>294</v>
      </c>
      <c r="B904" t="s">
        <v>412</v>
      </c>
      <c r="C904">
        <v>37</v>
      </c>
      <c r="D904" t="s">
        <v>8</v>
      </c>
      <c r="E904">
        <v>171</v>
      </c>
      <c r="F904" t="s">
        <v>413</v>
      </c>
      <c r="G904">
        <v>1.79</v>
      </c>
    </row>
    <row r="905" spans="1:7" outlineLevel="1" collapsed="1" x14ac:dyDescent="0.3">
      <c r="E905" s="1" t="s">
        <v>1519</v>
      </c>
      <c r="F905" t="str">
        <f>F904</f>
        <v>Scalpel</v>
      </c>
      <c r="G905">
        <f>SUBTOTAL(3,G902:G904)</f>
        <v>3</v>
      </c>
    </row>
    <row r="906" spans="1:7" hidden="1" outlineLevel="2" x14ac:dyDescent="0.3">
      <c r="A906">
        <v>431</v>
      </c>
      <c r="B906" t="s">
        <v>318</v>
      </c>
      <c r="C906">
        <v>33</v>
      </c>
      <c r="D906" t="s">
        <v>8</v>
      </c>
      <c r="E906">
        <v>172</v>
      </c>
      <c r="F906" t="s">
        <v>87</v>
      </c>
      <c r="G906">
        <v>3.14</v>
      </c>
    </row>
    <row r="907" spans="1:7" hidden="1" outlineLevel="2" x14ac:dyDescent="0.3">
      <c r="A907">
        <v>262</v>
      </c>
      <c r="B907" t="s">
        <v>380</v>
      </c>
      <c r="C907">
        <v>15</v>
      </c>
      <c r="D907" t="s">
        <v>8</v>
      </c>
      <c r="E907">
        <v>172</v>
      </c>
      <c r="F907" t="s">
        <v>87</v>
      </c>
      <c r="G907">
        <v>3.14</v>
      </c>
    </row>
    <row r="908" spans="1:7" hidden="1" outlineLevel="2" x14ac:dyDescent="0.3">
      <c r="A908">
        <v>265</v>
      </c>
      <c r="B908" t="s">
        <v>382</v>
      </c>
      <c r="C908">
        <v>25</v>
      </c>
      <c r="D908" t="s">
        <v>8</v>
      </c>
      <c r="E908">
        <v>172</v>
      </c>
      <c r="F908" t="s">
        <v>87</v>
      </c>
      <c r="G908">
        <v>3.14</v>
      </c>
    </row>
    <row r="909" spans="1:7" hidden="1" outlineLevel="2" x14ac:dyDescent="0.3">
      <c r="A909">
        <v>39</v>
      </c>
      <c r="B909" t="s">
        <v>86</v>
      </c>
      <c r="C909">
        <v>21</v>
      </c>
      <c r="D909" t="s">
        <v>8</v>
      </c>
      <c r="E909">
        <v>172</v>
      </c>
      <c r="F909" t="s">
        <v>87</v>
      </c>
      <c r="G909">
        <v>3.14</v>
      </c>
    </row>
    <row r="910" spans="1:7" outlineLevel="1" collapsed="1" x14ac:dyDescent="0.3">
      <c r="E910" s="1" t="s">
        <v>1520</v>
      </c>
      <c r="F910" t="str">
        <f>F909</f>
        <v>Blade of the Grave</v>
      </c>
      <c r="G910">
        <f>SUBTOTAL(3,G906:G909)</f>
        <v>4</v>
      </c>
    </row>
    <row r="911" spans="1:7" hidden="1" outlineLevel="2" x14ac:dyDescent="0.3">
      <c r="A911">
        <v>477</v>
      </c>
      <c r="B911" t="s">
        <v>576</v>
      </c>
      <c r="C911">
        <v>41</v>
      </c>
      <c r="D911" t="s">
        <v>8</v>
      </c>
      <c r="E911">
        <v>173</v>
      </c>
      <c r="F911" t="s">
        <v>392</v>
      </c>
      <c r="G911">
        <v>4.93</v>
      </c>
    </row>
    <row r="912" spans="1:7" hidden="1" outlineLevel="2" x14ac:dyDescent="0.3">
      <c r="A912">
        <v>275</v>
      </c>
      <c r="B912" t="s">
        <v>391</v>
      </c>
      <c r="C912">
        <v>30</v>
      </c>
      <c r="D912" t="s">
        <v>8</v>
      </c>
      <c r="E912">
        <v>173</v>
      </c>
      <c r="F912" t="s">
        <v>392</v>
      </c>
      <c r="G912">
        <v>4.93</v>
      </c>
    </row>
    <row r="913" spans="1:7" outlineLevel="1" collapsed="1" x14ac:dyDescent="0.3">
      <c r="E913" s="1" t="s">
        <v>1521</v>
      </c>
      <c r="F913" t="str">
        <f>F912</f>
        <v>Stormfury Longsword</v>
      </c>
      <c r="G913">
        <f>SUBTOTAL(3,G911:G912)</f>
        <v>2</v>
      </c>
    </row>
    <row r="914" spans="1:7" hidden="1" outlineLevel="2" x14ac:dyDescent="0.3">
      <c r="A914">
        <v>81</v>
      </c>
      <c r="B914" t="s">
        <v>154</v>
      </c>
      <c r="C914">
        <v>8</v>
      </c>
      <c r="D914" t="s">
        <v>39</v>
      </c>
      <c r="E914">
        <v>174</v>
      </c>
      <c r="F914" t="s">
        <v>155</v>
      </c>
      <c r="G914">
        <v>3.47</v>
      </c>
    </row>
    <row r="915" spans="1:7" hidden="1" outlineLevel="2" x14ac:dyDescent="0.3">
      <c r="A915">
        <v>101</v>
      </c>
      <c r="B915" t="s">
        <v>181</v>
      </c>
      <c r="C915">
        <v>21</v>
      </c>
      <c r="D915" t="s">
        <v>8</v>
      </c>
      <c r="E915">
        <v>174</v>
      </c>
      <c r="F915" t="s">
        <v>155</v>
      </c>
      <c r="G915">
        <v>3.47</v>
      </c>
    </row>
    <row r="916" spans="1:7" hidden="1" outlineLevel="2" x14ac:dyDescent="0.3">
      <c r="A916">
        <v>122</v>
      </c>
      <c r="B916" t="s">
        <v>213</v>
      </c>
      <c r="C916">
        <v>16</v>
      </c>
      <c r="D916" t="s">
        <v>8</v>
      </c>
      <c r="E916">
        <v>174</v>
      </c>
      <c r="F916" t="s">
        <v>155</v>
      </c>
      <c r="G916">
        <v>3.47</v>
      </c>
    </row>
    <row r="917" spans="1:7" hidden="1" outlineLevel="2" x14ac:dyDescent="0.3">
      <c r="A917">
        <v>353</v>
      </c>
      <c r="B917" t="s">
        <v>468</v>
      </c>
      <c r="C917">
        <v>25</v>
      </c>
      <c r="D917" t="s">
        <v>8</v>
      </c>
      <c r="E917">
        <v>174</v>
      </c>
      <c r="F917" t="s">
        <v>155</v>
      </c>
      <c r="G917">
        <v>3.47</v>
      </c>
    </row>
    <row r="918" spans="1:7" outlineLevel="1" collapsed="1" x14ac:dyDescent="0.3">
      <c r="E918" s="1" t="s">
        <v>1522</v>
      </c>
      <c r="F918" t="str">
        <f>F917</f>
        <v>Primitive Blade</v>
      </c>
      <c r="G918">
        <f>SUBTOTAL(3,G914:G917)</f>
        <v>4</v>
      </c>
    </row>
    <row r="919" spans="1:7" hidden="1" outlineLevel="2" x14ac:dyDescent="0.3">
      <c r="A919">
        <v>142</v>
      </c>
      <c r="B919" t="s">
        <v>238</v>
      </c>
      <c r="C919">
        <v>35</v>
      </c>
      <c r="D919" t="s">
        <v>39</v>
      </c>
      <c r="E919">
        <v>175</v>
      </c>
      <c r="F919" t="s">
        <v>239</v>
      </c>
      <c r="G919">
        <v>4.4800000000000004</v>
      </c>
    </row>
    <row r="920" spans="1:7" hidden="1" outlineLevel="2" x14ac:dyDescent="0.3">
      <c r="A920">
        <v>221</v>
      </c>
      <c r="B920" t="s">
        <v>336</v>
      </c>
      <c r="C920">
        <v>30</v>
      </c>
      <c r="D920" t="s">
        <v>8</v>
      </c>
      <c r="E920">
        <v>175</v>
      </c>
      <c r="F920" t="s">
        <v>239</v>
      </c>
      <c r="G920">
        <v>4.4800000000000004</v>
      </c>
    </row>
    <row r="921" spans="1:7" hidden="1" outlineLevel="2" x14ac:dyDescent="0.3">
      <c r="A921">
        <v>257</v>
      </c>
      <c r="B921" t="s">
        <v>375</v>
      </c>
      <c r="C921">
        <v>26</v>
      </c>
      <c r="D921" t="s">
        <v>8</v>
      </c>
      <c r="E921">
        <v>175</v>
      </c>
      <c r="F921" t="s">
        <v>239</v>
      </c>
      <c r="G921">
        <v>4.4800000000000004</v>
      </c>
    </row>
    <row r="922" spans="1:7" outlineLevel="1" collapsed="1" x14ac:dyDescent="0.3">
      <c r="E922" s="1" t="s">
        <v>1523</v>
      </c>
      <c r="F922" t="str">
        <f>F921</f>
        <v>Woeful Adamantite Claymore</v>
      </c>
      <c r="G922">
        <f>SUBTOTAL(3,G919:G921)</f>
        <v>3</v>
      </c>
    </row>
    <row r="923" spans="1:7" hidden="1" outlineLevel="2" x14ac:dyDescent="0.3">
      <c r="A923">
        <v>611</v>
      </c>
      <c r="B923" t="s">
        <v>664</v>
      </c>
      <c r="C923">
        <v>16</v>
      </c>
      <c r="D923" t="s">
        <v>8</v>
      </c>
      <c r="E923">
        <v>176</v>
      </c>
      <c r="F923" t="s">
        <v>112</v>
      </c>
      <c r="G923">
        <v>2.84</v>
      </c>
    </row>
    <row r="924" spans="1:7" hidden="1" outlineLevel="2" x14ac:dyDescent="0.3">
      <c r="A924">
        <v>53</v>
      </c>
      <c r="B924" t="s">
        <v>111</v>
      </c>
      <c r="C924">
        <v>32</v>
      </c>
      <c r="D924" t="s">
        <v>8</v>
      </c>
      <c r="E924">
        <v>176</v>
      </c>
      <c r="F924" t="s">
        <v>112</v>
      </c>
      <c r="G924">
        <v>2.84</v>
      </c>
    </row>
    <row r="925" spans="1:7" outlineLevel="1" collapsed="1" x14ac:dyDescent="0.3">
      <c r="E925" s="1" t="s">
        <v>1524</v>
      </c>
      <c r="F925" t="str">
        <f>F924</f>
        <v>Relentless Iron Skewer</v>
      </c>
      <c r="G925">
        <f>SUBTOTAL(3,G923:G924)</f>
        <v>2</v>
      </c>
    </row>
    <row r="926" spans="1:7" hidden="1" outlineLevel="2" x14ac:dyDescent="0.3">
      <c r="A926">
        <v>717</v>
      </c>
      <c r="B926" t="s">
        <v>727</v>
      </c>
      <c r="C926">
        <v>30</v>
      </c>
      <c r="D926" t="s">
        <v>8</v>
      </c>
      <c r="E926">
        <v>177</v>
      </c>
      <c r="F926" t="s">
        <v>728</v>
      </c>
      <c r="G926">
        <v>2.08</v>
      </c>
    </row>
    <row r="927" spans="1:7" hidden="1" outlineLevel="2" x14ac:dyDescent="0.3">
      <c r="A927">
        <v>723</v>
      </c>
      <c r="B927" t="s">
        <v>355</v>
      </c>
      <c r="C927">
        <v>21</v>
      </c>
      <c r="D927" t="s">
        <v>8</v>
      </c>
      <c r="E927">
        <v>177</v>
      </c>
      <c r="F927" t="s">
        <v>728</v>
      </c>
      <c r="G927">
        <v>2.08</v>
      </c>
    </row>
    <row r="928" spans="1:7" outlineLevel="1" collapsed="1" x14ac:dyDescent="0.3">
      <c r="E928" s="1" t="s">
        <v>1525</v>
      </c>
      <c r="F928" t="str">
        <f>F927</f>
        <v>Winterthorn, Defender of Shifting Worlds</v>
      </c>
      <c r="G928">
        <f>SUBTOTAL(3,G926:G927)</f>
        <v>2</v>
      </c>
    </row>
    <row r="929" spans="1:7" hidden="1" outlineLevel="2" x14ac:dyDescent="0.3">
      <c r="A929">
        <v>222</v>
      </c>
      <c r="B929" t="s">
        <v>337</v>
      </c>
      <c r="C929">
        <v>22</v>
      </c>
      <c r="D929" t="s">
        <v>39</v>
      </c>
      <c r="E929">
        <v>178</v>
      </c>
      <c r="F929" t="s">
        <v>60</v>
      </c>
      <c r="G929">
        <v>4.2300000000000004</v>
      </c>
    </row>
    <row r="930" spans="1:7" hidden="1" outlineLevel="2" x14ac:dyDescent="0.3">
      <c r="A930">
        <v>72</v>
      </c>
      <c r="B930" t="s">
        <v>141</v>
      </c>
      <c r="C930">
        <v>25</v>
      </c>
      <c r="D930" t="s">
        <v>39</v>
      </c>
      <c r="E930">
        <v>178</v>
      </c>
      <c r="F930" t="s">
        <v>60</v>
      </c>
      <c r="G930">
        <v>4.2300000000000004</v>
      </c>
    </row>
    <row r="931" spans="1:7" hidden="1" outlineLevel="2" x14ac:dyDescent="0.3">
      <c r="A931">
        <v>658</v>
      </c>
      <c r="B931" t="s">
        <v>691</v>
      </c>
      <c r="C931">
        <v>7</v>
      </c>
      <c r="D931" t="s">
        <v>39</v>
      </c>
      <c r="E931">
        <v>178</v>
      </c>
      <c r="F931" t="s">
        <v>60</v>
      </c>
      <c r="G931">
        <v>4.2300000000000004</v>
      </c>
    </row>
    <row r="932" spans="1:7" hidden="1" outlineLevel="2" x14ac:dyDescent="0.3">
      <c r="A932">
        <v>730</v>
      </c>
      <c r="B932" t="s">
        <v>737</v>
      </c>
      <c r="C932">
        <v>30</v>
      </c>
      <c r="D932" t="s">
        <v>8</v>
      </c>
      <c r="E932">
        <v>178</v>
      </c>
      <c r="F932" t="s">
        <v>60</v>
      </c>
      <c r="G932">
        <v>4.2300000000000004</v>
      </c>
    </row>
    <row r="933" spans="1:7" hidden="1" outlineLevel="2" x14ac:dyDescent="0.3">
      <c r="A933">
        <v>627</v>
      </c>
      <c r="B933" t="s">
        <v>671</v>
      </c>
      <c r="C933">
        <v>25</v>
      </c>
      <c r="D933" t="s">
        <v>8</v>
      </c>
      <c r="E933">
        <v>178</v>
      </c>
      <c r="F933" t="s">
        <v>60</v>
      </c>
      <c r="G933">
        <v>4.2300000000000004</v>
      </c>
    </row>
    <row r="934" spans="1:7" hidden="1" outlineLevel="2" x14ac:dyDescent="0.3">
      <c r="A934">
        <v>706</v>
      </c>
      <c r="B934" t="s">
        <v>723</v>
      </c>
      <c r="C934">
        <v>20</v>
      </c>
      <c r="D934" t="s">
        <v>8</v>
      </c>
      <c r="E934">
        <v>178</v>
      </c>
      <c r="F934" t="s">
        <v>60</v>
      </c>
      <c r="G934">
        <v>4.2300000000000004</v>
      </c>
    </row>
    <row r="935" spans="1:7" hidden="1" outlineLevel="2" x14ac:dyDescent="0.3">
      <c r="A935">
        <v>753</v>
      </c>
      <c r="B935" t="s">
        <v>753</v>
      </c>
      <c r="C935">
        <v>36</v>
      </c>
      <c r="D935" t="s">
        <v>8</v>
      </c>
      <c r="E935">
        <v>178</v>
      </c>
      <c r="F935" t="s">
        <v>60</v>
      </c>
      <c r="G935">
        <v>4.2300000000000004</v>
      </c>
    </row>
    <row r="936" spans="1:7" hidden="1" outlineLevel="2" x14ac:dyDescent="0.3">
      <c r="A936">
        <v>61</v>
      </c>
      <c r="B936" t="s">
        <v>125</v>
      </c>
      <c r="C936">
        <v>17</v>
      </c>
      <c r="D936" t="s">
        <v>8</v>
      </c>
      <c r="E936">
        <v>178</v>
      </c>
      <c r="F936" t="s">
        <v>60</v>
      </c>
      <c r="G936">
        <v>4.2300000000000004</v>
      </c>
    </row>
    <row r="937" spans="1:7" hidden="1" outlineLevel="2" x14ac:dyDescent="0.3">
      <c r="A937">
        <v>25</v>
      </c>
      <c r="B937" t="s">
        <v>59</v>
      </c>
      <c r="C937">
        <v>29</v>
      </c>
      <c r="D937" t="s">
        <v>8</v>
      </c>
      <c r="E937">
        <v>178</v>
      </c>
      <c r="F937" t="s">
        <v>60</v>
      </c>
      <c r="G937">
        <v>4.2300000000000004</v>
      </c>
    </row>
    <row r="938" spans="1:7" hidden="1" outlineLevel="2" x14ac:dyDescent="0.3">
      <c r="A938">
        <v>464</v>
      </c>
      <c r="B938" t="s">
        <v>564</v>
      </c>
      <c r="C938">
        <v>22</v>
      </c>
      <c r="D938" t="s">
        <v>8</v>
      </c>
      <c r="E938">
        <v>178</v>
      </c>
      <c r="F938" t="s">
        <v>60</v>
      </c>
      <c r="G938">
        <v>4.2300000000000004</v>
      </c>
    </row>
    <row r="939" spans="1:7" hidden="1" outlineLevel="2" x14ac:dyDescent="0.3">
      <c r="A939">
        <v>580</v>
      </c>
      <c r="B939" t="s">
        <v>67</v>
      </c>
      <c r="C939">
        <v>24</v>
      </c>
      <c r="D939" t="s">
        <v>8</v>
      </c>
      <c r="E939">
        <v>178</v>
      </c>
      <c r="F939" t="s">
        <v>60</v>
      </c>
      <c r="G939">
        <v>4.2300000000000004</v>
      </c>
    </row>
    <row r="940" spans="1:7" hidden="1" outlineLevel="2" x14ac:dyDescent="0.3">
      <c r="A940">
        <v>62</v>
      </c>
      <c r="B940" t="s">
        <v>126</v>
      </c>
      <c r="C940">
        <v>30</v>
      </c>
      <c r="D940" t="s">
        <v>8</v>
      </c>
      <c r="E940">
        <v>178</v>
      </c>
      <c r="F940" t="s">
        <v>60</v>
      </c>
      <c r="G940">
        <v>4.2300000000000004</v>
      </c>
    </row>
    <row r="941" spans="1:7" outlineLevel="1" collapsed="1" x14ac:dyDescent="0.3">
      <c r="E941" s="1" t="s">
        <v>1526</v>
      </c>
      <c r="F941" t="str">
        <f>F940</f>
        <v>Oathbreaker, Last Hope of the Breaking Storm</v>
      </c>
      <c r="G941">
        <f>SUBTOTAL(3,G929:G940)</f>
        <v>12</v>
      </c>
    </row>
    <row r="942" spans="1:7" hidden="1" outlineLevel="2" x14ac:dyDescent="0.3">
      <c r="A942">
        <v>429</v>
      </c>
      <c r="B942" t="s">
        <v>534</v>
      </c>
      <c r="C942">
        <v>22</v>
      </c>
      <c r="D942" t="s">
        <v>39</v>
      </c>
      <c r="E942">
        <v>179</v>
      </c>
      <c r="F942" t="s">
        <v>72</v>
      </c>
      <c r="G942">
        <v>4.4800000000000004</v>
      </c>
    </row>
    <row r="943" spans="1:7" hidden="1" outlineLevel="2" x14ac:dyDescent="0.3">
      <c r="A943">
        <v>565</v>
      </c>
      <c r="B943" t="s">
        <v>635</v>
      </c>
      <c r="C943">
        <v>20</v>
      </c>
      <c r="D943" t="s">
        <v>8</v>
      </c>
      <c r="E943">
        <v>179</v>
      </c>
      <c r="F943" t="s">
        <v>72</v>
      </c>
      <c r="G943">
        <v>4.4800000000000004</v>
      </c>
    </row>
    <row r="944" spans="1:7" hidden="1" outlineLevel="2" x14ac:dyDescent="0.3">
      <c r="A944">
        <v>31</v>
      </c>
      <c r="B944" t="s">
        <v>71</v>
      </c>
      <c r="C944">
        <v>37</v>
      </c>
      <c r="D944" t="s">
        <v>8</v>
      </c>
      <c r="E944">
        <v>179</v>
      </c>
      <c r="F944" t="s">
        <v>72</v>
      </c>
      <c r="G944">
        <v>4.4800000000000004</v>
      </c>
    </row>
    <row r="945" spans="1:7" hidden="1" outlineLevel="2" x14ac:dyDescent="0.3">
      <c r="A945">
        <v>137</v>
      </c>
      <c r="B945" t="s">
        <v>233</v>
      </c>
      <c r="C945">
        <v>20</v>
      </c>
      <c r="D945" t="s">
        <v>8</v>
      </c>
      <c r="E945">
        <v>179</v>
      </c>
      <c r="F945" t="s">
        <v>72</v>
      </c>
      <c r="G945">
        <v>4.4800000000000004</v>
      </c>
    </row>
    <row r="946" spans="1:7" hidden="1" outlineLevel="2" x14ac:dyDescent="0.3">
      <c r="A946">
        <v>305</v>
      </c>
      <c r="B946" t="s">
        <v>421</v>
      </c>
      <c r="C946">
        <v>20</v>
      </c>
      <c r="D946" t="s">
        <v>8</v>
      </c>
      <c r="E946">
        <v>179</v>
      </c>
      <c r="F946" t="s">
        <v>72</v>
      </c>
      <c r="G946">
        <v>4.4800000000000004</v>
      </c>
    </row>
    <row r="947" spans="1:7" hidden="1" outlineLevel="2" x14ac:dyDescent="0.3">
      <c r="A947">
        <v>481</v>
      </c>
      <c r="B947" t="s">
        <v>578</v>
      </c>
      <c r="C947">
        <v>7</v>
      </c>
      <c r="D947" t="s">
        <v>8</v>
      </c>
      <c r="E947">
        <v>179</v>
      </c>
      <c r="F947" t="s">
        <v>72</v>
      </c>
      <c r="G947">
        <v>4.4800000000000004</v>
      </c>
    </row>
    <row r="948" spans="1:7" outlineLevel="1" collapsed="1" x14ac:dyDescent="0.3">
      <c r="E948" s="1" t="s">
        <v>1527</v>
      </c>
      <c r="F948" t="str">
        <f>F947</f>
        <v>Wolf, Promise of the Moonwalker</v>
      </c>
      <c r="G948">
        <f>SUBTOTAL(3,G942:G947)</f>
        <v>6</v>
      </c>
    </row>
    <row r="949" spans="1:7" hidden="1" outlineLevel="2" x14ac:dyDescent="0.3">
      <c r="A949">
        <v>751</v>
      </c>
      <c r="B949" t="s">
        <v>751</v>
      </c>
      <c r="C949">
        <v>11</v>
      </c>
      <c r="D949" t="s">
        <v>8</v>
      </c>
      <c r="E949">
        <v>180</v>
      </c>
      <c r="F949" t="s">
        <v>267</v>
      </c>
      <c r="G949">
        <v>3.36</v>
      </c>
    </row>
    <row r="950" spans="1:7" outlineLevel="1" collapsed="1" x14ac:dyDescent="0.3">
      <c r="E950" s="1" t="s">
        <v>1528</v>
      </c>
      <c r="F950" t="str">
        <f>F949</f>
        <v>Stormcaller</v>
      </c>
      <c r="G950">
        <f>SUBTOTAL(3,G949:G949)</f>
        <v>1</v>
      </c>
    </row>
    <row r="951" spans="1:7" hidden="1" outlineLevel="2" x14ac:dyDescent="0.3">
      <c r="A951">
        <v>392</v>
      </c>
      <c r="B951" t="s">
        <v>505</v>
      </c>
      <c r="C951">
        <v>20</v>
      </c>
      <c r="D951" t="s">
        <v>39</v>
      </c>
      <c r="E951">
        <v>181</v>
      </c>
      <c r="F951" t="s">
        <v>97</v>
      </c>
      <c r="G951">
        <v>1.66</v>
      </c>
    </row>
    <row r="952" spans="1:7" hidden="1" outlineLevel="2" x14ac:dyDescent="0.3">
      <c r="A952">
        <v>45</v>
      </c>
      <c r="B952" t="s">
        <v>96</v>
      </c>
      <c r="C952">
        <v>23</v>
      </c>
      <c r="D952" t="s">
        <v>8</v>
      </c>
      <c r="E952">
        <v>181</v>
      </c>
      <c r="F952" t="s">
        <v>97</v>
      </c>
      <c r="G952">
        <v>1.66</v>
      </c>
    </row>
    <row r="953" spans="1:7" hidden="1" outlineLevel="2" x14ac:dyDescent="0.3">
      <c r="A953">
        <v>375</v>
      </c>
      <c r="B953" t="s">
        <v>488</v>
      </c>
      <c r="C953">
        <v>25</v>
      </c>
      <c r="D953" t="s">
        <v>8</v>
      </c>
      <c r="E953">
        <v>181</v>
      </c>
      <c r="F953" t="s">
        <v>97</v>
      </c>
      <c r="G953">
        <v>1.66</v>
      </c>
    </row>
    <row r="954" spans="1:7" hidden="1" outlineLevel="2" x14ac:dyDescent="0.3">
      <c r="A954">
        <v>304</v>
      </c>
      <c r="B954" t="s">
        <v>423</v>
      </c>
      <c r="C954">
        <v>24</v>
      </c>
      <c r="D954" t="s">
        <v>8</v>
      </c>
      <c r="E954">
        <v>181</v>
      </c>
      <c r="F954" t="s">
        <v>97</v>
      </c>
      <c r="G954">
        <v>1.66</v>
      </c>
    </row>
    <row r="955" spans="1:7" hidden="1" outlineLevel="2" x14ac:dyDescent="0.3">
      <c r="A955">
        <v>162</v>
      </c>
      <c r="B955" t="s">
        <v>260</v>
      </c>
      <c r="C955">
        <v>17</v>
      </c>
      <c r="D955" t="s">
        <v>8</v>
      </c>
      <c r="E955">
        <v>181</v>
      </c>
      <c r="F955" t="s">
        <v>97</v>
      </c>
      <c r="G955">
        <v>1.66</v>
      </c>
    </row>
    <row r="956" spans="1:7" outlineLevel="1" collapsed="1" x14ac:dyDescent="0.3">
      <c r="E956" s="1" t="s">
        <v>1529</v>
      </c>
      <c r="F956" t="str">
        <f>F955</f>
        <v>Reaper's Toll</v>
      </c>
      <c r="G956">
        <f>SUBTOTAL(3,G951:G955)</f>
        <v>5</v>
      </c>
    </row>
    <row r="957" spans="1:7" hidden="1" outlineLevel="2" x14ac:dyDescent="0.3">
      <c r="A957">
        <v>256</v>
      </c>
      <c r="B957" t="s">
        <v>242</v>
      </c>
      <c r="C957">
        <v>23</v>
      </c>
      <c r="D957" t="s">
        <v>8</v>
      </c>
      <c r="E957">
        <v>182</v>
      </c>
      <c r="F957" t="s">
        <v>374</v>
      </c>
      <c r="G957">
        <v>4.03</v>
      </c>
    </row>
    <row r="958" spans="1:7" hidden="1" outlineLevel="2" x14ac:dyDescent="0.3">
      <c r="A958">
        <v>313</v>
      </c>
      <c r="B958" t="s">
        <v>431</v>
      </c>
      <c r="C958">
        <v>23</v>
      </c>
      <c r="D958" t="s">
        <v>8</v>
      </c>
      <c r="E958">
        <v>182</v>
      </c>
      <c r="F958" t="s">
        <v>374</v>
      </c>
      <c r="G958">
        <v>4.03</v>
      </c>
    </row>
    <row r="959" spans="1:7" hidden="1" outlineLevel="2" x14ac:dyDescent="0.3">
      <c r="A959">
        <v>758</v>
      </c>
      <c r="B959" t="s">
        <v>220</v>
      </c>
      <c r="C959">
        <v>21</v>
      </c>
      <c r="D959" t="s">
        <v>8</v>
      </c>
      <c r="E959">
        <v>182</v>
      </c>
      <c r="F959" t="s">
        <v>374</v>
      </c>
      <c r="G959">
        <v>4.03</v>
      </c>
    </row>
    <row r="960" spans="1:7" outlineLevel="1" collapsed="1" x14ac:dyDescent="0.3">
      <c r="E960" s="1" t="s">
        <v>1530</v>
      </c>
      <c r="F960" t="str">
        <f>F959</f>
        <v>Toothpick</v>
      </c>
      <c r="G960">
        <f>SUBTOTAL(3,G957:G959)</f>
        <v>3</v>
      </c>
    </row>
    <row r="961" spans="1:7" hidden="1" outlineLevel="2" x14ac:dyDescent="0.3">
      <c r="A961">
        <v>618</v>
      </c>
      <c r="B961" t="s">
        <v>543</v>
      </c>
      <c r="C961">
        <v>29</v>
      </c>
      <c r="D961" t="s">
        <v>39</v>
      </c>
      <c r="E961">
        <v>183</v>
      </c>
      <c r="F961" t="s">
        <v>265</v>
      </c>
      <c r="G961">
        <v>1.0900000000000001</v>
      </c>
    </row>
    <row r="962" spans="1:7" hidden="1" outlineLevel="2" x14ac:dyDescent="0.3">
      <c r="A962">
        <v>705</v>
      </c>
      <c r="B962" t="s">
        <v>722</v>
      </c>
      <c r="C962">
        <v>22</v>
      </c>
      <c r="D962" t="s">
        <v>8</v>
      </c>
      <c r="E962">
        <v>183</v>
      </c>
      <c r="F962" t="s">
        <v>265</v>
      </c>
      <c r="G962">
        <v>1.0900000000000001</v>
      </c>
    </row>
    <row r="963" spans="1:7" hidden="1" outlineLevel="2" x14ac:dyDescent="0.3">
      <c r="A963">
        <v>165</v>
      </c>
      <c r="B963" t="s">
        <v>264</v>
      </c>
      <c r="C963">
        <v>15</v>
      </c>
      <c r="D963" t="s">
        <v>8</v>
      </c>
      <c r="E963">
        <v>183</v>
      </c>
      <c r="F963" t="s">
        <v>265</v>
      </c>
      <c r="G963">
        <v>1.0900000000000001</v>
      </c>
    </row>
    <row r="964" spans="1:7" outlineLevel="1" collapsed="1" x14ac:dyDescent="0.3">
      <c r="E964" s="1" t="s">
        <v>1531</v>
      </c>
      <c r="F964" t="str">
        <f>F963</f>
        <v>Dragon's Greatsword</v>
      </c>
      <c r="G964">
        <f>SUBTOTAL(3,G961:G963)</f>
        <v>3</v>
      </c>
    </row>
    <row r="965" spans="1:7" outlineLevel="1" x14ac:dyDescent="0.3"/>
    <row r="966" spans="1:7" outlineLevel="1" x14ac:dyDescent="0.3">
      <c r="E966" s="1" t="s">
        <v>1348</v>
      </c>
      <c r="G966">
        <f>SUBTOTAL(3,G2:G965)</f>
        <v>780</v>
      </c>
    </row>
  </sheetData>
  <sortState xmlns:xlrd2="http://schemas.microsoft.com/office/spreadsheetml/2017/richdata2" ref="A2:G965">
    <sortCondition ref="E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purchase_data</vt:lpstr>
      <vt:lpstr>purchase_data (2)</vt:lpstr>
      <vt:lpstr>Sheet2</vt:lpstr>
      <vt:lpstr>Sheet3</vt:lpstr>
      <vt:lpstr>unique item nbr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lonny kramer</dc:creator>
  <cp:lastModifiedBy>lonny kramer</cp:lastModifiedBy>
  <dcterms:created xsi:type="dcterms:W3CDTF">2019-08-07T17:10:47Z</dcterms:created>
  <dcterms:modified xsi:type="dcterms:W3CDTF">2019-08-08T15:22:40Z</dcterms:modified>
</cp:coreProperties>
</file>